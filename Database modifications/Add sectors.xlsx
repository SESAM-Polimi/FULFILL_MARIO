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orenzorinaldi/Documents/GitHub/SESAM/FULFILL_MARIO/Data/Database modifications/"/>
    </mc:Choice>
  </mc:AlternateContent>
  <xr:revisionPtr revIDLastSave="0" documentId="13_ncr:1_{60691199-D168-7F4F-AD0A-C1E80D34C404}" xr6:coauthVersionLast="47" xr6:coauthVersionMax="47" xr10:uidLastSave="{00000000-0000-0000-0000-000000000000}"/>
  <bookViews>
    <workbookView xWindow="-9100" yWindow="-28120" windowWidth="25360" windowHeight="27980" xr2:uid="{00000000-000D-0000-FFFF-FFFF00000000}"/>
  </bookViews>
  <sheets>
    <sheet name="Master" sheetId="1" r:id="rId1"/>
    <sheet name="Regions Clusters" sheetId="2" r:id="rId2"/>
    <sheet name="Commodities Clusters" sheetId="3" r:id="rId3"/>
    <sheet name="Omnivore 170g meal" sheetId="4" r:id="rId4"/>
    <sheet name="Omnivore 75g meal" sheetId="5" r:id="rId5"/>
    <sheet name="Flexitarian 30g meal" sheetId="6" r:id="rId6"/>
    <sheet name="Vegetarian meal" sheetId="7" r:id="rId7"/>
    <sheet name="Pescetarian meal" sheetId="8" r:id="rId8"/>
    <sheet name="Vegan meal" sheetId="9" r:id="rId9"/>
    <sheet name="Omnivore 100g opt meal" sheetId="10" r:id="rId10"/>
    <sheet name="Omnivore 45g opt meal" sheetId="11" r:id="rId11"/>
    <sheet name="Flexitarian 20g opt meal" sheetId="12" r:id="rId12"/>
    <sheet name="Pescetarian opt meal" sheetId="13" r:id="rId13"/>
    <sheet name="Vegetarian opt meal" sheetId="14" r:id="rId14"/>
    <sheet name="Vegan opt meal" sheetId="15" r:id="rId15"/>
    <sheet name="Housing" sheetId="16" r:id="rId16"/>
    <sheet name="Other fossil heating system" sheetId="17" r:id="rId17"/>
    <sheet name="Solid biomass heating system" sheetId="18" r:id="rId18"/>
    <sheet name="Heavy fuel oil heating system" sheetId="19" r:id="rId19"/>
    <sheet name="Methane heating system" sheetId="20" r:id="rId20"/>
    <sheet name="Electric heating system" sheetId="21" r:id="rId21"/>
    <sheet name="District heating network" sheetId="22" r:id="rId22"/>
    <sheet name="Heat pump system" sheetId="23" r:id="rId23"/>
    <sheet name="Solar thermal system" sheetId="24" r:id="rId24"/>
    <sheet name="Diesel and gasoline car" sheetId="25" r:id="rId25"/>
    <sheet name="LPG car" sheetId="26" r:id="rId26"/>
    <sheet name="Methane car" sheetId="27" r:id="rId27"/>
    <sheet name="Hydrogen car" sheetId="28" r:id="rId28"/>
    <sheet name="Full electric car" sheetId="29" r:id="rId29"/>
    <sheet name="DB units" sheetId="30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" l="1" a="1"/>
  <c r="G27" i="1" s="1"/>
  <c r="G23" i="1"/>
  <c r="G22" i="1"/>
  <c r="G21" i="1"/>
  <c r="G20" i="1"/>
  <c r="G19" i="1"/>
  <c r="G18" i="1"/>
  <c r="G15" i="1" a="1"/>
  <c r="G17" i="1" s="1"/>
  <c r="G15" i="1"/>
  <c r="D13" i="1"/>
  <c r="D12" i="1"/>
  <c r="D11" i="1"/>
  <c r="D10" i="1"/>
  <c r="D9" i="1"/>
  <c r="D8" i="1"/>
  <c r="D7" i="1"/>
  <c r="D6" i="1"/>
  <c r="D5" i="1"/>
  <c r="D4" i="1"/>
  <c r="D3" i="1"/>
  <c r="G13" i="1"/>
  <c r="G12" i="1"/>
  <c r="G11" i="1"/>
  <c r="G10" i="1"/>
  <c r="G9" i="1"/>
  <c r="G8" i="1"/>
  <c r="G7" i="1"/>
  <c r="G2" i="1" a="1"/>
  <c r="G6" i="1" s="1"/>
  <c r="G2" i="1"/>
  <c r="D2" i="1"/>
  <c r="G3" i="1" l="1"/>
  <c r="G24" i="1"/>
  <c r="G4" i="1"/>
  <c r="G25" i="1"/>
  <c r="G5" i="1"/>
  <c r="G16" i="1"/>
  <c r="G26" i="1"/>
</calcChain>
</file>

<file path=xl/sharedStrings.xml><?xml version="1.0" encoding="utf-8"?>
<sst xmlns="http://schemas.openxmlformats.org/spreadsheetml/2006/main" count="2973" uniqueCount="501">
  <si>
    <t>Region</t>
  </si>
  <si>
    <t>Activity</t>
  </si>
  <si>
    <t>Commodity</t>
  </si>
  <si>
    <t>Inventory sheet</t>
  </si>
  <si>
    <t>Quantity</t>
  </si>
  <si>
    <t>Unit</t>
  </si>
  <si>
    <t>Market share</t>
  </si>
  <si>
    <t>Final consumption</t>
  </si>
  <si>
    <t>Consumption category</t>
  </si>
  <si>
    <t>Parent Activity</t>
  </si>
  <si>
    <t>Leave empty</t>
  </si>
  <si>
    <t>Source</t>
  </si>
  <si>
    <t>Notes</t>
  </si>
  <si>
    <t>EU27</t>
  </si>
  <si>
    <t>Omnivore 170g meal</t>
  </si>
  <si>
    <t>Meals</t>
  </si>
  <si>
    <t>meal</t>
  </si>
  <si>
    <t>Fulfill project</t>
  </si>
  <si>
    <t>Omnivore 75g meal</t>
  </si>
  <si>
    <t>Flexitarian 30g meal</t>
  </si>
  <si>
    <t>Vegetarian meal</t>
  </si>
  <si>
    <t>Pescetarian meal</t>
  </si>
  <si>
    <t>Vegan meal</t>
  </si>
  <si>
    <t>Omnivore 100g opt meal</t>
  </si>
  <si>
    <t>Omnivore 45g opt meal</t>
  </si>
  <si>
    <t>Flexitarian 20g opt meal</t>
  </si>
  <si>
    <t>Pescetarian opt meal</t>
  </si>
  <si>
    <t>Vegetarian opt meal</t>
  </si>
  <si>
    <t>Vegan opt meal</t>
  </si>
  <si>
    <t>Housing</t>
  </si>
  <si>
    <t>Housing services</t>
  </si>
  <si>
    <t>m^2</t>
  </si>
  <si>
    <t>Other fossil heating system</t>
  </si>
  <si>
    <t>Heating services</t>
  </si>
  <si>
    <t>kWh</t>
  </si>
  <si>
    <t>Solid biomass heating system</t>
  </si>
  <si>
    <t>Heavy fuel oil heating system</t>
  </si>
  <si>
    <t>Methane heating system</t>
  </si>
  <si>
    <t>Electric heating system</t>
  </si>
  <si>
    <t>District heating network</t>
  </si>
  <si>
    <t>Heat pump system</t>
  </si>
  <si>
    <t>Solar thermal system</t>
  </si>
  <si>
    <t>Diesel and gasoline car</t>
  </si>
  <si>
    <t>Car mobility</t>
  </si>
  <si>
    <t>km</t>
  </si>
  <si>
    <t>LPG car</t>
  </si>
  <si>
    <t>Methane car</t>
  </si>
  <si>
    <t>Hydrogen car</t>
  </si>
  <si>
    <t>Full electric car</t>
  </si>
  <si>
    <t>GLOBAL</t>
  </si>
  <si>
    <t>CN</t>
  </si>
  <si>
    <t>AT</t>
  </si>
  <si>
    <t>FI</t>
  </si>
  <si>
    <t>BE</t>
  </si>
  <si>
    <t>CA</t>
  </si>
  <si>
    <t>BG</t>
  </si>
  <si>
    <t>CY</t>
  </si>
  <si>
    <t>IN</t>
  </si>
  <si>
    <t>CZ</t>
  </si>
  <si>
    <t>DE</t>
  </si>
  <si>
    <t>IT</t>
  </si>
  <si>
    <t>DK</t>
  </si>
  <si>
    <t>ID</t>
  </si>
  <si>
    <t>EE</t>
  </si>
  <si>
    <t>JP</t>
  </si>
  <si>
    <t>ES</t>
  </si>
  <si>
    <t>LU</t>
  </si>
  <si>
    <t>IE</t>
  </si>
  <si>
    <t>FR</t>
  </si>
  <si>
    <t>MT</t>
  </si>
  <si>
    <t>GR</t>
  </si>
  <si>
    <t>TR</t>
  </si>
  <si>
    <t>HR</t>
  </si>
  <si>
    <t>HU</t>
  </si>
  <si>
    <t>NO</t>
  </si>
  <si>
    <t>RoW</t>
  </si>
  <si>
    <t>LT</t>
  </si>
  <si>
    <t>CH</t>
  </si>
  <si>
    <t>SK</t>
  </si>
  <si>
    <t>LV</t>
  </si>
  <si>
    <t>PL</t>
  </si>
  <si>
    <t>RO</t>
  </si>
  <si>
    <t>NL</t>
  </si>
  <si>
    <t>SI</t>
  </si>
  <si>
    <t>SE</t>
  </si>
  <si>
    <t>PT</t>
  </si>
  <si>
    <t>BR</t>
  </si>
  <si>
    <t>AU</t>
  </si>
  <si>
    <t>GB</t>
  </si>
  <si>
    <t>KR</t>
  </si>
  <si>
    <t>ZA</t>
  </si>
  <si>
    <t>US</t>
  </si>
  <si>
    <t>MX</t>
  </si>
  <si>
    <t>Cluster1</t>
  </si>
  <si>
    <t>Input</t>
  </si>
  <si>
    <t>Item type</t>
  </si>
  <si>
    <t>DB Item</t>
  </si>
  <si>
    <t>DB Region</t>
  </si>
  <si>
    <t>Change type</t>
  </si>
  <si>
    <t>unit</t>
  </si>
  <si>
    <t>Cultivation of paddy rice</t>
  </si>
  <si>
    <t>None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</si>
  <si>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</si>
  <si>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</si>
  <si>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</si>
  <si>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</si>
  <si>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</si>
  <si>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</si>
  <si>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</si>
  <si>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</si>
  <si>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</si>
  <si>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</si>
  <si>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Meat animals nec</t>
  </si>
  <si>
    <t>Animal products nec</t>
  </si>
  <si>
    <t>Raw milk</t>
  </si>
  <si>
    <t>Wool, silk-worm cocoons</t>
  </si>
  <si>
    <t>Manure treatment (conventional), storage and land application</t>
  </si>
  <si>
    <t>Manure treatment (biogas), storage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</si>
  <si>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</si>
  <si>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</si>
  <si>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</si>
  <si>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</si>
  <si>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</si>
  <si>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</si>
  <si>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</si>
  <si>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</si>
  <si>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</si>
  <si>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</si>
  <si>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</si>
  <si>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</si>
  <si>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</si>
  <si>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</si>
  <si>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</si>
  <si>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</si>
  <si>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</si>
  <si>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</si>
  <si>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</si>
  <si>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</si>
  <si>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</si>
  <si>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</si>
  <si>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</si>
  <si>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Processed rice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</si>
  <si>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</si>
  <si>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</si>
  <si>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</si>
  <si>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</si>
  <si>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</si>
  <si>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</si>
  <si>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</si>
  <si>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</si>
  <si>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</si>
  <si>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Re-processing of secondary wood material into new wood material</t>
  </si>
  <si>
    <t>Pulp</t>
  </si>
  <si>
    <t>Re-processing of secondary paper into new pulp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</si>
  <si>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</si>
  <si>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</si>
  <si>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</si>
  <si>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</si>
  <si>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</si>
  <si>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</si>
  <si>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Re-processing of secondary plastic into new plastic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</si>
  <si>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</si>
  <si>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</si>
  <si>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</si>
  <si>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</si>
  <si>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</si>
  <si>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Re-processing of secondary glass into new glass</t>
  </si>
  <si>
    <t>Manufacture of ceramic goods</t>
  </si>
  <si>
    <t>Manufacture of bricks, tiles and construction products, in baked clay</t>
  </si>
  <si>
    <t>Manufacture of cement, lime and plaster</t>
  </si>
  <si>
    <t>Re-processing of ash into clinker</t>
  </si>
  <si>
    <t>Manufacture of other non-metallic mineral products n.e.c.</t>
  </si>
  <si>
    <t>Manufacture of basic iron and steel and of ferro-alloys and first products thereof</t>
  </si>
  <si>
    <t>Re-processing of secondary steel into new steel</t>
  </si>
  <si>
    <t>Precious metals production</t>
  </si>
  <si>
    <t>Re-processing of secondary preciuos metals into new preciuos metals</t>
  </si>
  <si>
    <t>Aluminium production</t>
  </si>
  <si>
    <t>Re-processing of secondary aluminium into new aluminium</t>
  </si>
  <si>
    <t>Lead, zinc and tin production</t>
  </si>
  <si>
    <t>Re-processing of secondary lead into new lead</t>
  </si>
  <si>
    <t>Copper production</t>
  </si>
  <si>
    <t>Re-processing of secondary copper into new copper</t>
  </si>
  <si>
    <t>Other non-ferrous metal production</t>
  </si>
  <si>
    <t>Re-processing of secondary other non-ferrous metals into new other non-ferrous metals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</si>
  <si>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</si>
  <si>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</si>
  <si>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</si>
  <si>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</si>
  <si>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</si>
  <si>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</si>
  <si>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</si>
  <si>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</si>
  <si>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</si>
  <si>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</si>
  <si>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</si>
  <si>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Recycling of bottles by direct reuse</t>
  </si>
  <si>
    <t>Coal</t>
  </si>
  <si>
    <t>Gas</t>
  </si>
  <si>
    <t>Nuclear</t>
  </si>
  <si>
    <t>Hydro</t>
  </si>
  <si>
    <t>Wind</t>
  </si>
  <si>
    <t>Other Fossil</t>
  </si>
  <si>
    <t>Bioenergy</t>
  </si>
  <si>
    <t>Solar</t>
  </si>
  <si>
    <t>Other Renewables</t>
  </si>
  <si>
    <t>Transmission of electricity</t>
  </si>
  <si>
    <t>Distribution and trade of electricity</t>
  </si>
  <si>
    <t>Manufacture of gas;</t>
  </si>
  <si>
    <t>Distribution of gaseous fuels through mains</t>
  </si>
  <si>
    <t>Steam and hot water supply</t>
  </si>
  <si>
    <t>Collection, purification and distribution of water (41)</t>
  </si>
  <si>
    <t>Construction (45)</t>
  </si>
  <si>
    <t>Re-processing of secondary construction material into aggregates</t>
  </si>
  <si>
    <t>Sale, maintenance, repair of motor vehicles, motor vehicles parts, motorcycles, motor cycles parts and accessoiries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</si>
  <si>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</si>
  <si>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</si>
  <si>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</si>
  <si>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</si>
  <si>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</si>
  <si>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</si>
  <si>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</si>
  <si>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</si>
  <si>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</si>
  <si>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</si>
  <si>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</si>
  <si>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</si>
  <si>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</si>
  <si>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</si>
  <si>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</si>
  <si>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</si>
  <si>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</si>
  <si>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</si>
  <si>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</si>
  <si>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</si>
  <si>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</si>
  <si>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</si>
  <si>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</si>
  <si>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</si>
  <si>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</si>
  <si>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</si>
  <si>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</si>
  <si>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</si>
  <si>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</si>
  <si>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</si>
  <si>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waste, incl. land application</t>
  </si>
  <si>
    <t>Biogasification of paper, incl. land application</t>
  </si>
  <si>
    <t>Biogasification of sewage slugde, incl. land application</t>
  </si>
  <si>
    <t>Composting of food waste, incl. land application</t>
  </si>
  <si>
    <t>Composting of paper and wood, incl. land application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</si>
  <si>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</si>
  <si>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</si>
  <si>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</si>
  <si>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</si>
  <si>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</si>
  <si>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</si>
  <si>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</si>
  <si>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</si>
  <si>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</si>
  <si>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</si>
  <si>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</si>
  <si>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Private households with employed persons (95)</t>
  </si>
  <si>
    <t>Extra-territorial organizations and bodies</t>
  </si>
  <si>
    <t>Paddy rice</t>
  </si>
  <si>
    <t>tonnes</t>
  </si>
  <si>
    <t>Wheat</t>
  </si>
  <si>
    <t>Cereal grains nec</t>
  </si>
  <si>
    <t>Vegetables; fruit; nuts</t>
  </si>
  <si>
    <t>Oil seeds</t>
  </si>
  <si>
    <t>Sugar cane; sugar beet</t>
  </si>
  <si>
    <t>Plant-based fibers</t>
  </si>
  <si>
    <t>Crops nec</t>
  </si>
  <si>
    <t>Cattle</t>
  </si>
  <si>
    <t>Pigs</t>
  </si>
  <si>
    <t>Poultry</t>
  </si>
  <si>
    <t>Wool; silk-worm cocoons</t>
  </si>
  <si>
    <t>Manure (conventional treatment)</t>
  </si>
  <si>
    <t>tonnes (service)</t>
  </si>
  <si>
    <t>Manure (biogas treatment)</t>
  </si>
  <si>
    <t>Products of forestry; logging and related services (02)</t>
  </si>
  <si>
    <t>Fish and other fishing products; services incidental of fishing (05)</t>
  </si>
  <si>
    <t>Anthracite</t>
  </si>
  <si>
    <t>Coal and peat</t>
  </si>
  <si>
    <t>Patent Fuel</t>
  </si>
  <si>
    <t>Crude petroleum and services related to crude oil extraction; excluding surveying</t>
  </si>
  <si>
    <t>Natural gas and services related to natural gas extraction;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</si>
  <si>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</si>
  <si>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</si>
  <si>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</si>
  <si>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</si>
  <si>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</si>
  <si>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</si>
  <si>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</si>
  <si>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</si>
  <si>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Lead; zinc and tin ores and concentrates</t>
  </si>
  <si>
    <t>Other non-ferrous metal ores and concentrates</t>
  </si>
  <si>
    <t>Stone</t>
  </si>
  <si>
    <t>Sand and clay</t>
  </si>
  <si>
    <t>Chemical and fertilizer minerals;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</si>
  <si>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</si>
  <si>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</si>
  <si>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</si>
  <si>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</si>
  <si>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</si>
  <si>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</si>
  <si>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</si>
  <si>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</si>
  <si>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</si>
  <si>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</si>
  <si>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</si>
  <si>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</si>
  <si>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</si>
  <si>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</si>
  <si>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</si>
  <si>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treatment; Re-processing of secondary wood material into new wood material</t>
  </si>
  <si>
    <t>Secondary paper for treatment;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</si>
  <si>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</si>
  <si>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</si>
  <si>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</si>
  <si>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</si>
  <si>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</si>
  <si>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Liquid fuels</t>
  </si>
  <si>
    <t>Aviation Gasoline</t>
  </si>
  <si>
    <t>Gasoline Type Jet Fuel</t>
  </si>
  <si>
    <t>Kerosene Type Jet Fuel</t>
  </si>
  <si>
    <t>Kerosene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</si>
  <si>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</si>
  <si>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</si>
  <si>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</si>
  <si>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</si>
  <si>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</si>
  <si>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</si>
  <si>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</si>
  <si>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</si>
  <si>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</si>
  <si>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</si>
  <si>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</si>
  <si>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</si>
  <si>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</si>
  <si>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TJ</t>
  </si>
  <si>
    <t>Plastics; basic</t>
  </si>
  <si>
    <t>Secondary plastic for treatment; Re-processing of secondary plastic into new plastic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</si>
  <si>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</si>
  <si>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</si>
  <si>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</si>
  <si>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</si>
  <si>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</si>
  <si>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</si>
  <si>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</si>
  <si>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treatment; Re-processing of secondary glass into new glass</t>
  </si>
  <si>
    <t>Ceramic goods</t>
  </si>
  <si>
    <t>Bricks; tiles and construction products; in baked clay</t>
  </si>
  <si>
    <t>Cement; lime and plaster</t>
  </si>
  <si>
    <t>Ash for treatment; Re-processing of ash into clinker</t>
  </si>
  <si>
    <t>Other non-metallic mineral products</t>
  </si>
  <si>
    <t>Basic iron and steel and of ferro-alloys and first products thereof</t>
  </si>
  <si>
    <t>Secondary steel for treatment; Re-processing of secondary steel into new steel</t>
  </si>
  <si>
    <t>Precious metals</t>
  </si>
  <si>
    <t>Secondary preciuos metals for treatment; Re-processing of secondary preciuos metals into new preciuos metals</t>
  </si>
  <si>
    <t>Aluminium and aluminium products</t>
  </si>
  <si>
    <t>Secondary aluminium for treatment; Re-processing of secondary aluminium into new aluminium</t>
  </si>
  <si>
    <t>Lead; zinc and tin and products thereof</t>
  </si>
  <si>
    <t>Secondary lead for treatment; Re-processing of secondary lead into new lead</t>
  </si>
  <si>
    <t>Copper products</t>
  </si>
  <si>
    <t>Secondary copper for treatment; Re-processing of secondary copper into new copper</t>
  </si>
  <si>
    <t>Other non-ferrous metal products</t>
  </si>
  <si>
    <t>Secondary other non-ferrous metals for treatment; Re-processing of secondary other non-ferrous metals into new other non-ferrous metals</t>
  </si>
  <si>
    <t>Foundry work services</t>
  </si>
  <si>
    <t>Fabricated metal products; except machinery and equipment (28)</t>
  </si>
  <si>
    <t>Machinery and equipment n.e.c. (29)</t>
  </si>
  <si>
    <t>Office machinery and computers (30)</t>
  </si>
  <si>
    <t>Electrical machinery and apparatus n.e.c. (31)</t>
  </si>
  <si>
    <t>Radio; television and communication equipment and apparatus (32)</t>
  </si>
  <si>
    <t>Medical; precision and optical instruments; watches and clocks (33)</t>
  </si>
  <si>
    <t>Motor vehicles; trailers and semi-trailers (34)</t>
  </si>
  <si>
    <t>Meuro</t>
  </si>
  <si>
    <t>Other transport equipment (35)</t>
  </si>
  <si>
    <t>Furniture; other manufactured goods n.e.c. (36)</t>
  </si>
  <si>
    <t>Secondary raw materials</t>
  </si>
  <si>
    <t>Bottles for treatment; Recycling of bottles by direct reuse</t>
  </si>
  <si>
    <t>Electricity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</si>
  <si>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</si>
  <si>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</si>
  <si>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</si>
  <si>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</si>
  <si>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</si>
  <si>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</si>
  <si>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</si>
  <si>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</si>
  <si>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</si>
  <si>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water; distribution services of water (41)</t>
  </si>
  <si>
    <t>Construction work (45)</t>
  </si>
  <si>
    <t>Secondary construction material for treatment; Re-processing of secondary construction material into aggregates</t>
  </si>
  <si>
    <t>Sale; maintenance; repair of motor vehicles; motor vehicles parts; motorcycles; motor cycles parts and accessoiries</t>
  </si>
  <si>
    <t>Retail trade services of motor fuel</t>
  </si>
  <si>
    <t>Wholesale trade and commission trade services; except of motor vehicles and motorcycles (51)</t>
  </si>
  <si>
    <t>Retail  trade services;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</si>
  <si>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</si>
  <si>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</si>
  <si>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</si>
  <si>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</si>
  <si>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</si>
  <si>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</si>
  <si>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</si>
  <si>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</si>
  <si>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</si>
  <si>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services; except insurance and pension funding services (65)</t>
  </si>
  <si>
    <t>Insurance and pension funding services;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</si>
  <si>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</si>
  <si>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</si>
  <si>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</si>
  <si>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</si>
  <si>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</si>
  <si>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</si>
  <si>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</si>
  <si>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</si>
  <si>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</si>
  <si>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</si>
  <si>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</si>
  <si>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</si>
  <si>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</si>
  <si>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</si>
  <si>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</si>
  <si>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</si>
  <si>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</si>
  <si>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</si>
  <si>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</si>
  <si>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</si>
  <si>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</si>
  <si>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</si>
  <si>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</si>
  <si>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</si>
  <si>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</si>
  <si>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</si>
  <si>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</si>
  <si>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</si>
  <si>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</si>
  <si>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</si>
  <si>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Recreational; cultural and sporting services (92)</t>
  </si>
  <si>
    <t>Other services (93)</t>
  </si>
  <si>
    <t>Factor of production</t>
  </si>
  <si>
    <t>Compensation of employees; wages, salaries, &amp; employers' social contributions: High-skilled</t>
  </si>
  <si>
    <t>Compensation of employees; wages, salaries, &amp; employers' social contributions: Low-skilled</t>
  </si>
  <si>
    <t>Compensation of employees; wages, salaries, &amp; employers' social contributions: Medium-skilled</t>
  </si>
  <si>
    <t>Operating surplus: Consumption of fixed capital</t>
  </si>
  <si>
    <t>Operating surplus: Remaining net operating surplus</t>
  </si>
  <si>
    <t>Other net taxes on production</t>
  </si>
  <si>
    <t>Taxes less subsidies on products purchased: Total</t>
  </si>
  <si>
    <t>Satellite account</t>
  </si>
  <si>
    <t>Crude oil</t>
  </si>
  <si>
    <t>tonne</t>
  </si>
  <si>
    <t>Natural gas</t>
  </si>
  <si>
    <t>Natural gas liquids</t>
  </si>
  <si>
    <t>Peat</t>
  </si>
  <si>
    <t>Coking coal</t>
  </si>
  <si>
    <t>Lignite/brown coal</t>
  </si>
  <si>
    <t>Other bituminous coal</t>
  </si>
  <si>
    <t>Sub-bituminous coal</t>
  </si>
  <si>
    <t>Water Consumption Blue</t>
  </si>
  <si>
    <t>Mm3</t>
  </si>
  <si>
    <t>Water Consumption Green</t>
  </si>
  <si>
    <t>Water Withdrawal Blue</t>
  </si>
  <si>
    <t>Land use, arable land</t>
  </si>
  <si>
    <t>ha</t>
  </si>
  <si>
    <t>Land use, forest land</t>
  </si>
  <si>
    <t>Land use, grassland</t>
  </si>
  <si>
    <t>Land use, other land for woodfuel</t>
  </si>
  <si>
    <t>Land use, infrastructure land</t>
  </si>
  <si>
    <t>Carbon dioxide, fossil</t>
  </si>
  <si>
    <t>N2O</t>
  </si>
  <si>
    <t>CH4</t>
  </si>
  <si>
    <t>HFCs</t>
  </si>
  <si>
    <t>PFCs</t>
  </si>
  <si>
    <t xml:space="preserve">NOX </t>
  </si>
  <si>
    <t>SOx</t>
  </si>
  <si>
    <t>Carbon dioxide, biogenic</t>
  </si>
  <si>
    <t>Employment: Low-skilled male</t>
  </si>
  <si>
    <t>1000 persons</t>
  </si>
  <si>
    <t>Employment: Low-skilled female</t>
  </si>
  <si>
    <t>Employment: Medium-skilled male</t>
  </si>
  <si>
    <t>Employment: Medium-skilled female</t>
  </si>
  <si>
    <t>Employment: High-skilled male</t>
  </si>
  <si>
    <t>Employment: High-skilled female</t>
  </si>
  <si>
    <t>Employment: Vulnerable employment</t>
  </si>
  <si>
    <t>g</t>
  </si>
  <si>
    <t>Bovine and ovine meat</t>
  </si>
  <si>
    <t>Pork, offals and others</t>
  </si>
  <si>
    <t>Dairy</t>
  </si>
  <si>
    <t>Seafood</t>
  </si>
  <si>
    <t>Fruits</t>
  </si>
  <si>
    <t>Vegetables</t>
  </si>
  <si>
    <t>Legumes</t>
  </si>
  <si>
    <t>Cereals</t>
  </si>
  <si>
    <t>Oils</t>
  </si>
  <si>
    <t>Convenience food</t>
  </si>
  <si>
    <t>Coffee tea chocolate</t>
  </si>
  <si>
    <t>Alcohols</t>
  </si>
  <si>
    <t>Non-alcoholic beverages</t>
  </si>
  <si>
    <t>Sugar chocolate</t>
  </si>
  <si>
    <t>Others</t>
  </si>
  <si>
    <t>Update</t>
  </si>
  <si>
    <t>Households final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</si>
</sst>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/>
    <xf numFmtId="1" fontId="3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zoomScale="115" workbookViewId="0">
      <selection activeCell="J2" sqref="I2:J13"/>
    </sheetView>
  </sheetViews>
  <sheetFormatPr baseColWidth="10" defaultColWidth="8.83203125" defaultRowHeight="15" x14ac:dyDescent="0.2"/>
  <cols>
    <col min="2" max="2" width="23.5" bestFit="1" customWidth="1"/>
    <col min="3" max="3" width="13.6640625" bestFit="1" customWidth="1"/>
    <col min="4" max="4" width="23.5" bestFit="1" customWidth="1"/>
    <col min="5" max="5" width="8" bestFit="1" customWidth="1"/>
    <col min="7" max="7" width="11.6640625" bestFit="1" customWidth="1"/>
    <col min="8" max="8" width="15.33203125" bestFit="1" customWidth="1"/>
    <col min="9" max="9" width="24.5" bestFit="1" customWidth="1"/>
    <col min="10" max="10" width="12.832031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 t="str">
        <f t="shared" ref="D2:D13" si="0">B2</f>
        <v>Omnivore 170g meal</v>
      </c>
      <c r="E2">
        <v>1</v>
      </c>
      <c r="F2" t="s">
        <v>16</v>
      </c>
      <c r="G2">
        <f t="array" ref="G2:G13">1/12</f>
        <v>8.3333333333333329E-2</v>
      </c>
      <c r="H2">
        <v>1</v>
      </c>
      <c r="I2" t="s">
        <v>500</v>
      </c>
      <c r="L2" t="s">
        <v>17</v>
      </c>
    </row>
    <row r="3" spans="1:13" x14ac:dyDescent="0.2">
      <c r="A3" t="s">
        <v>13</v>
      </c>
      <c r="B3" t="s">
        <v>18</v>
      </c>
      <c r="C3" t="s">
        <v>15</v>
      </c>
      <c r="D3" t="str">
        <f t="shared" si="0"/>
        <v>Omnivore 75g meal</v>
      </c>
      <c r="E3">
        <v>1</v>
      </c>
      <c r="F3" t="s">
        <v>16</v>
      </c>
      <c r="G3">
        <v>8.3333333333333329E-2</v>
      </c>
      <c r="H3">
        <v>1</v>
      </c>
      <c r="I3" t="s">
        <v>500</v>
      </c>
      <c r="L3" t="s">
        <v>17</v>
      </c>
    </row>
    <row r="4" spans="1:13" x14ac:dyDescent="0.2">
      <c r="A4" t="s">
        <v>13</v>
      </c>
      <c r="B4" t="s">
        <v>19</v>
      </c>
      <c r="C4" t="s">
        <v>15</v>
      </c>
      <c r="D4" t="str">
        <f t="shared" si="0"/>
        <v>Flexitarian 30g meal</v>
      </c>
      <c r="E4">
        <v>1</v>
      </c>
      <c r="F4" t="s">
        <v>16</v>
      </c>
      <c r="G4">
        <v>8.3333333333333329E-2</v>
      </c>
      <c r="H4">
        <v>1</v>
      </c>
      <c r="I4" t="s">
        <v>500</v>
      </c>
      <c r="L4" t="s">
        <v>17</v>
      </c>
    </row>
    <row r="5" spans="1:13" x14ac:dyDescent="0.2">
      <c r="A5" t="s">
        <v>13</v>
      </c>
      <c r="B5" t="s">
        <v>20</v>
      </c>
      <c r="C5" t="s">
        <v>15</v>
      </c>
      <c r="D5" t="str">
        <f t="shared" si="0"/>
        <v>Vegetarian meal</v>
      </c>
      <c r="E5">
        <v>1</v>
      </c>
      <c r="F5" t="s">
        <v>16</v>
      </c>
      <c r="G5">
        <v>8.3333333333333329E-2</v>
      </c>
      <c r="H5">
        <v>1</v>
      </c>
      <c r="I5" t="s">
        <v>500</v>
      </c>
      <c r="L5" t="s">
        <v>17</v>
      </c>
    </row>
    <row r="6" spans="1:13" x14ac:dyDescent="0.2">
      <c r="A6" t="s">
        <v>13</v>
      </c>
      <c r="B6" t="s">
        <v>21</v>
      </c>
      <c r="C6" t="s">
        <v>15</v>
      </c>
      <c r="D6" t="str">
        <f t="shared" si="0"/>
        <v>Pescetarian meal</v>
      </c>
      <c r="E6">
        <v>1</v>
      </c>
      <c r="F6" t="s">
        <v>16</v>
      </c>
      <c r="G6">
        <v>8.3333333333333329E-2</v>
      </c>
      <c r="H6">
        <v>1</v>
      </c>
      <c r="I6" t="s">
        <v>500</v>
      </c>
      <c r="L6" t="s">
        <v>17</v>
      </c>
    </row>
    <row r="7" spans="1:13" x14ac:dyDescent="0.2">
      <c r="A7" t="s">
        <v>13</v>
      </c>
      <c r="B7" t="s">
        <v>22</v>
      </c>
      <c r="C7" t="s">
        <v>15</v>
      </c>
      <c r="D7" t="str">
        <f t="shared" si="0"/>
        <v>Vegan meal</v>
      </c>
      <c r="E7">
        <v>1</v>
      </c>
      <c r="F7" t="s">
        <v>16</v>
      </c>
      <c r="G7">
        <v>8.3333333333333329E-2</v>
      </c>
      <c r="H7">
        <v>1</v>
      </c>
      <c r="I7" t="s">
        <v>500</v>
      </c>
      <c r="L7" t="s">
        <v>17</v>
      </c>
    </row>
    <row r="8" spans="1:13" x14ac:dyDescent="0.2">
      <c r="A8" t="s">
        <v>13</v>
      </c>
      <c r="B8" t="s">
        <v>23</v>
      </c>
      <c r="C8" t="s">
        <v>15</v>
      </c>
      <c r="D8" t="str">
        <f t="shared" si="0"/>
        <v>Omnivore 100g opt meal</v>
      </c>
      <c r="E8">
        <v>1</v>
      </c>
      <c r="F8" t="s">
        <v>16</v>
      </c>
      <c r="G8">
        <v>8.3333333333333329E-2</v>
      </c>
      <c r="H8">
        <v>1</v>
      </c>
      <c r="I8" t="s">
        <v>500</v>
      </c>
      <c r="L8" t="s">
        <v>17</v>
      </c>
    </row>
    <row r="9" spans="1:13" x14ac:dyDescent="0.2">
      <c r="A9" t="s">
        <v>13</v>
      </c>
      <c r="B9" t="s">
        <v>24</v>
      </c>
      <c r="C9" t="s">
        <v>15</v>
      </c>
      <c r="D9" t="str">
        <f t="shared" si="0"/>
        <v>Omnivore 45g opt meal</v>
      </c>
      <c r="E9">
        <v>1</v>
      </c>
      <c r="F9" t="s">
        <v>16</v>
      </c>
      <c r="G9">
        <v>8.3333333333333329E-2</v>
      </c>
      <c r="H9">
        <v>1</v>
      </c>
      <c r="I9" t="s">
        <v>500</v>
      </c>
      <c r="L9" t="s">
        <v>17</v>
      </c>
    </row>
    <row r="10" spans="1:13" x14ac:dyDescent="0.2">
      <c r="A10" t="s">
        <v>13</v>
      </c>
      <c r="B10" t="s">
        <v>25</v>
      </c>
      <c r="C10" t="s">
        <v>15</v>
      </c>
      <c r="D10" t="str">
        <f t="shared" si="0"/>
        <v>Flexitarian 20g opt meal</v>
      </c>
      <c r="E10">
        <v>1</v>
      </c>
      <c r="F10" t="s">
        <v>16</v>
      </c>
      <c r="G10">
        <v>8.3333333333333329E-2</v>
      </c>
      <c r="H10">
        <v>1</v>
      </c>
      <c r="I10" t="s">
        <v>500</v>
      </c>
      <c r="L10" t="s">
        <v>17</v>
      </c>
    </row>
    <row r="11" spans="1:13" x14ac:dyDescent="0.2">
      <c r="A11" t="s">
        <v>13</v>
      </c>
      <c r="B11" t="s">
        <v>26</v>
      </c>
      <c r="C11" t="s">
        <v>15</v>
      </c>
      <c r="D11" t="str">
        <f t="shared" si="0"/>
        <v>Pescetarian opt meal</v>
      </c>
      <c r="E11">
        <v>1</v>
      </c>
      <c r="F11" t="s">
        <v>16</v>
      </c>
      <c r="G11">
        <v>8.3333333333333329E-2</v>
      </c>
      <c r="H11">
        <v>1</v>
      </c>
      <c r="I11" t="s">
        <v>500</v>
      </c>
      <c r="L11" t="s">
        <v>17</v>
      </c>
    </row>
    <row r="12" spans="1:13" x14ac:dyDescent="0.2">
      <c r="A12" t="s">
        <v>13</v>
      </c>
      <c r="B12" t="s">
        <v>27</v>
      </c>
      <c r="C12" t="s">
        <v>15</v>
      </c>
      <c r="D12" t="str">
        <f t="shared" si="0"/>
        <v>Vegetarian opt meal</v>
      </c>
      <c r="E12">
        <v>1</v>
      </c>
      <c r="F12" t="s">
        <v>16</v>
      </c>
      <c r="G12">
        <v>8.3333333333333329E-2</v>
      </c>
      <c r="H12">
        <v>1</v>
      </c>
      <c r="I12" t="s">
        <v>500</v>
      </c>
      <c r="L12" t="s">
        <v>17</v>
      </c>
    </row>
    <row r="13" spans="1:13" x14ac:dyDescent="0.2">
      <c r="A13" t="s">
        <v>13</v>
      </c>
      <c r="B13" t="s">
        <v>28</v>
      </c>
      <c r="C13" t="s">
        <v>15</v>
      </c>
      <c r="D13" t="str">
        <f t="shared" si="0"/>
        <v>Vegan opt meal</v>
      </c>
      <c r="E13">
        <v>1</v>
      </c>
      <c r="F13" t="s">
        <v>16</v>
      </c>
      <c r="G13">
        <v>8.3333333333333329E-2</v>
      </c>
      <c r="H13">
        <v>1</v>
      </c>
      <c r="I13" t="s">
        <v>500</v>
      </c>
      <c r="L13" t="s">
        <v>17</v>
      </c>
    </row>
    <row r="14" spans="1:13" x14ac:dyDescent="0.2">
      <c r="A14" t="s">
        <v>13</v>
      </c>
      <c r="B14" t="s">
        <v>29</v>
      </c>
      <c r="C14" t="s">
        <v>30</v>
      </c>
      <c r="D14" t="s">
        <v>29</v>
      </c>
      <c r="E14">
        <v>1</v>
      </c>
      <c r="F14" t="s">
        <v>31</v>
      </c>
      <c r="G14">
        <v>1</v>
      </c>
      <c r="K14" t="b">
        <v>1</v>
      </c>
      <c r="L14" t="s">
        <v>17</v>
      </c>
    </row>
    <row r="15" spans="1:13" x14ac:dyDescent="0.2">
      <c r="A15" t="s">
        <v>13</v>
      </c>
      <c r="B15" t="s">
        <v>32</v>
      </c>
      <c r="C15" t="s">
        <v>33</v>
      </c>
      <c r="D15" t="s">
        <v>32</v>
      </c>
      <c r="E15">
        <v>1</v>
      </c>
      <c r="F15" t="s">
        <v>34</v>
      </c>
      <c r="G15">
        <f t="array" ref="G15:G22">1/8</f>
        <v>0.125</v>
      </c>
      <c r="K15" t="b">
        <v>1</v>
      </c>
      <c r="L15" t="s">
        <v>17</v>
      </c>
    </row>
    <row r="16" spans="1:13" x14ac:dyDescent="0.2">
      <c r="A16" t="s">
        <v>13</v>
      </c>
      <c r="B16" t="s">
        <v>35</v>
      </c>
      <c r="C16" t="s">
        <v>33</v>
      </c>
      <c r="D16" t="s">
        <v>35</v>
      </c>
      <c r="E16">
        <v>1</v>
      </c>
      <c r="F16" t="s">
        <v>34</v>
      </c>
      <c r="G16">
        <v>0.125</v>
      </c>
      <c r="K16" t="b">
        <v>1</v>
      </c>
      <c r="L16" t="s">
        <v>17</v>
      </c>
    </row>
    <row r="17" spans="1:12" x14ac:dyDescent="0.2">
      <c r="A17" t="s">
        <v>13</v>
      </c>
      <c r="B17" t="s">
        <v>36</v>
      </c>
      <c r="C17" t="s">
        <v>33</v>
      </c>
      <c r="D17" t="s">
        <v>36</v>
      </c>
      <c r="E17">
        <v>1</v>
      </c>
      <c r="F17" t="s">
        <v>34</v>
      </c>
      <c r="G17">
        <v>0.125</v>
      </c>
      <c r="K17" t="b">
        <v>1</v>
      </c>
      <c r="L17" t="s">
        <v>17</v>
      </c>
    </row>
    <row r="18" spans="1:12" x14ac:dyDescent="0.2">
      <c r="A18" t="s">
        <v>13</v>
      </c>
      <c r="B18" t="s">
        <v>37</v>
      </c>
      <c r="C18" t="s">
        <v>33</v>
      </c>
      <c r="D18" t="s">
        <v>37</v>
      </c>
      <c r="E18">
        <v>1</v>
      </c>
      <c r="F18" t="s">
        <v>34</v>
      </c>
      <c r="G18">
        <v>0.125</v>
      </c>
      <c r="K18" t="b">
        <v>1</v>
      </c>
      <c r="L18" t="s">
        <v>17</v>
      </c>
    </row>
    <row r="19" spans="1:12" x14ac:dyDescent="0.2">
      <c r="A19" t="s">
        <v>13</v>
      </c>
      <c r="B19" t="s">
        <v>38</v>
      </c>
      <c r="C19" t="s">
        <v>33</v>
      </c>
      <c r="D19" t="s">
        <v>38</v>
      </c>
      <c r="E19">
        <v>1</v>
      </c>
      <c r="F19" t="s">
        <v>34</v>
      </c>
      <c r="G19">
        <v>0.125</v>
      </c>
      <c r="K19" t="b">
        <v>1</v>
      </c>
      <c r="L19" t="s">
        <v>17</v>
      </c>
    </row>
    <row r="20" spans="1:12" x14ac:dyDescent="0.2">
      <c r="A20" t="s">
        <v>13</v>
      </c>
      <c r="B20" t="s">
        <v>39</v>
      </c>
      <c r="C20" t="s">
        <v>33</v>
      </c>
      <c r="D20" t="s">
        <v>39</v>
      </c>
      <c r="E20">
        <v>1</v>
      </c>
      <c r="F20" t="s">
        <v>34</v>
      </c>
      <c r="G20">
        <v>0.125</v>
      </c>
      <c r="K20" t="b">
        <v>1</v>
      </c>
      <c r="L20" t="s">
        <v>17</v>
      </c>
    </row>
    <row r="21" spans="1:12" x14ac:dyDescent="0.2">
      <c r="A21" t="s">
        <v>13</v>
      </c>
      <c r="B21" t="s">
        <v>40</v>
      </c>
      <c r="C21" t="s">
        <v>33</v>
      </c>
      <c r="D21" t="s">
        <v>40</v>
      </c>
      <c r="E21">
        <v>1</v>
      </c>
      <c r="F21" t="s">
        <v>34</v>
      </c>
      <c r="G21">
        <v>0.125</v>
      </c>
      <c r="K21" t="b">
        <v>1</v>
      </c>
      <c r="L21" t="s">
        <v>17</v>
      </c>
    </row>
    <row r="22" spans="1:12" x14ac:dyDescent="0.2">
      <c r="A22" t="s">
        <v>13</v>
      </c>
      <c r="B22" t="s">
        <v>41</v>
      </c>
      <c r="C22" t="s">
        <v>33</v>
      </c>
      <c r="D22" t="s">
        <v>41</v>
      </c>
      <c r="E22">
        <v>1</v>
      </c>
      <c r="F22" t="s">
        <v>34</v>
      </c>
      <c r="G22">
        <v>0.125</v>
      </c>
      <c r="K22" t="b">
        <v>1</v>
      </c>
      <c r="L22" t="s">
        <v>17</v>
      </c>
    </row>
    <row r="23" spans="1:12" x14ac:dyDescent="0.2">
      <c r="A23" t="s">
        <v>13</v>
      </c>
      <c r="B23" t="s">
        <v>42</v>
      </c>
      <c r="C23" t="s">
        <v>43</v>
      </c>
      <c r="D23" t="s">
        <v>42</v>
      </c>
      <c r="E23">
        <v>1</v>
      </c>
      <c r="F23" t="s">
        <v>44</v>
      </c>
      <c r="G23">
        <f t="array" ref="G23:G27">1/5</f>
        <v>0.2</v>
      </c>
      <c r="K23" t="b">
        <v>1</v>
      </c>
      <c r="L23" t="s">
        <v>17</v>
      </c>
    </row>
    <row r="24" spans="1:12" x14ac:dyDescent="0.2">
      <c r="A24" t="s">
        <v>13</v>
      </c>
      <c r="B24" t="s">
        <v>45</v>
      </c>
      <c r="C24" t="s">
        <v>43</v>
      </c>
      <c r="D24" t="s">
        <v>45</v>
      </c>
      <c r="E24">
        <v>1</v>
      </c>
      <c r="F24" t="s">
        <v>44</v>
      </c>
      <c r="G24">
        <v>0.2</v>
      </c>
      <c r="K24" t="b">
        <v>1</v>
      </c>
      <c r="L24" t="s">
        <v>17</v>
      </c>
    </row>
    <row r="25" spans="1:12" x14ac:dyDescent="0.2">
      <c r="A25" t="s">
        <v>13</v>
      </c>
      <c r="B25" t="s">
        <v>46</v>
      </c>
      <c r="C25" t="s">
        <v>43</v>
      </c>
      <c r="D25" t="s">
        <v>46</v>
      </c>
      <c r="E25">
        <v>1</v>
      </c>
      <c r="F25" t="s">
        <v>44</v>
      </c>
      <c r="G25">
        <v>0.2</v>
      </c>
      <c r="K25" t="b">
        <v>1</v>
      </c>
      <c r="L25" t="s">
        <v>17</v>
      </c>
    </row>
    <row r="26" spans="1:12" x14ac:dyDescent="0.2">
      <c r="A26" t="s">
        <v>13</v>
      </c>
      <c r="B26" t="s">
        <v>47</v>
      </c>
      <c r="C26" t="s">
        <v>43</v>
      </c>
      <c r="D26" t="s">
        <v>47</v>
      </c>
      <c r="E26">
        <v>1</v>
      </c>
      <c r="F26" t="s">
        <v>44</v>
      </c>
      <c r="G26">
        <v>0.2</v>
      </c>
      <c r="K26" t="b">
        <v>1</v>
      </c>
      <c r="L26" t="s">
        <v>17</v>
      </c>
    </row>
    <row r="27" spans="1:12" x14ac:dyDescent="0.2">
      <c r="A27" t="s">
        <v>13</v>
      </c>
      <c r="B27" t="s">
        <v>48</v>
      </c>
      <c r="C27" t="s">
        <v>43</v>
      </c>
      <c r="D27" t="s">
        <v>48</v>
      </c>
      <c r="E27">
        <v>1</v>
      </c>
      <c r="F27" t="s">
        <v>44</v>
      </c>
      <c r="G27">
        <v>0.2</v>
      </c>
      <c r="K27" t="b">
        <v>1</v>
      </c>
      <c r="L2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4"/>
  <sheetViews>
    <sheetView workbookViewId="0">
      <selection activeCell="E35" sqref="E35"/>
    </sheetView>
  </sheetViews>
  <sheetFormatPr baseColWidth="10" defaultColWidth="8.83203125" defaultRowHeight="15" x14ac:dyDescent="0.2"/>
  <sheetData>
    <row r="1" spans="1:2" x14ac:dyDescent="0.2">
      <c r="A1" s="1" t="s">
        <v>49</v>
      </c>
      <c r="B1" s="1" t="s">
        <v>13</v>
      </c>
    </row>
    <row r="2" spans="1:2" x14ac:dyDescent="0.2">
      <c r="A2" t="s">
        <v>50</v>
      </c>
      <c r="B2" t="s">
        <v>51</v>
      </c>
    </row>
    <row r="3" spans="1:2" x14ac:dyDescent="0.2">
      <c r="A3" t="s">
        <v>52</v>
      </c>
      <c r="B3" t="s">
        <v>53</v>
      </c>
    </row>
    <row r="4" spans="1:2" x14ac:dyDescent="0.2">
      <c r="A4" t="s">
        <v>54</v>
      </c>
      <c r="B4" t="s">
        <v>55</v>
      </c>
    </row>
    <row r="5" spans="1:2" x14ac:dyDescent="0.2">
      <c r="A5" t="s">
        <v>56</v>
      </c>
      <c r="B5" t="s">
        <v>56</v>
      </c>
    </row>
    <row r="6" spans="1:2" x14ac:dyDescent="0.2">
      <c r="A6" t="s">
        <v>57</v>
      </c>
      <c r="B6" t="s">
        <v>58</v>
      </c>
    </row>
    <row r="7" spans="1:2" x14ac:dyDescent="0.2">
      <c r="A7" t="s">
        <v>51</v>
      </c>
      <c r="B7" t="s">
        <v>59</v>
      </c>
    </row>
    <row r="8" spans="1:2" x14ac:dyDescent="0.2">
      <c r="A8" t="s">
        <v>60</v>
      </c>
      <c r="B8" t="s">
        <v>61</v>
      </c>
    </row>
    <row r="9" spans="1:2" x14ac:dyDescent="0.2">
      <c r="A9" t="s">
        <v>62</v>
      </c>
      <c r="B9" t="s">
        <v>63</v>
      </c>
    </row>
    <row r="10" spans="1:2" x14ac:dyDescent="0.2">
      <c r="A10" t="s">
        <v>64</v>
      </c>
      <c r="B10" t="s">
        <v>65</v>
      </c>
    </row>
    <row r="11" spans="1:2" x14ac:dyDescent="0.2">
      <c r="A11" t="s">
        <v>66</v>
      </c>
      <c r="B11" t="s">
        <v>52</v>
      </c>
    </row>
    <row r="12" spans="1:2" x14ac:dyDescent="0.2">
      <c r="A12" t="s">
        <v>67</v>
      </c>
      <c r="B12" t="s">
        <v>68</v>
      </c>
    </row>
    <row r="13" spans="1:2" x14ac:dyDescent="0.2">
      <c r="A13" t="s">
        <v>69</v>
      </c>
      <c r="B13" t="s">
        <v>70</v>
      </c>
    </row>
    <row r="14" spans="1:2" x14ac:dyDescent="0.2">
      <c r="A14" t="s">
        <v>71</v>
      </c>
      <c r="B14" t="s">
        <v>72</v>
      </c>
    </row>
    <row r="15" spans="1:2" x14ac:dyDescent="0.2">
      <c r="A15" t="s">
        <v>58</v>
      </c>
      <c r="B15" t="s">
        <v>73</v>
      </c>
    </row>
    <row r="16" spans="1:2" x14ac:dyDescent="0.2">
      <c r="A16" t="s">
        <v>74</v>
      </c>
      <c r="B16" t="s">
        <v>67</v>
      </c>
    </row>
    <row r="17" spans="1:2" x14ac:dyDescent="0.2">
      <c r="A17" t="s">
        <v>75</v>
      </c>
      <c r="B17" t="s">
        <v>76</v>
      </c>
    </row>
    <row r="18" spans="1:2" x14ac:dyDescent="0.2">
      <c r="A18" t="s">
        <v>77</v>
      </c>
      <c r="B18" t="s">
        <v>66</v>
      </c>
    </row>
    <row r="19" spans="1:2" x14ac:dyDescent="0.2">
      <c r="A19" t="s">
        <v>78</v>
      </c>
      <c r="B19" t="s">
        <v>79</v>
      </c>
    </row>
    <row r="20" spans="1:2" x14ac:dyDescent="0.2">
      <c r="A20" t="s">
        <v>80</v>
      </c>
      <c r="B20" t="s">
        <v>69</v>
      </c>
    </row>
    <row r="21" spans="1:2" x14ac:dyDescent="0.2">
      <c r="A21" t="s">
        <v>81</v>
      </c>
      <c r="B21" t="s">
        <v>82</v>
      </c>
    </row>
    <row r="22" spans="1:2" x14ac:dyDescent="0.2">
      <c r="A22" t="s">
        <v>83</v>
      </c>
      <c r="B22" t="s">
        <v>80</v>
      </c>
    </row>
    <row r="23" spans="1:2" x14ac:dyDescent="0.2">
      <c r="A23" t="s">
        <v>84</v>
      </c>
      <c r="B23" t="s">
        <v>85</v>
      </c>
    </row>
    <row r="24" spans="1:2" x14ac:dyDescent="0.2">
      <c r="A24" t="s">
        <v>72</v>
      </c>
      <c r="B24" t="s">
        <v>81</v>
      </c>
    </row>
    <row r="25" spans="1:2" x14ac:dyDescent="0.2">
      <c r="A25" t="s">
        <v>70</v>
      </c>
      <c r="B25" t="s">
        <v>84</v>
      </c>
    </row>
    <row r="26" spans="1:2" x14ac:dyDescent="0.2">
      <c r="A26" t="s">
        <v>86</v>
      </c>
      <c r="B26" t="s">
        <v>83</v>
      </c>
    </row>
    <row r="27" spans="1:2" x14ac:dyDescent="0.2">
      <c r="A27" t="s">
        <v>87</v>
      </c>
      <c r="B27" t="s">
        <v>78</v>
      </c>
    </row>
    <row r="28" spans="1:2" x14ac:dyDescent="0.2">
      <c r="A28" t="s">
        <v>88</v>
      </c>
      <c r="B28" t="s">
        <v>60</v>
      </c>
    </row>
    <row r="29" spans="1:2" x14ac:dyDescent="0.2">
      <c r="A29" t="s">
        <v>76</v>
      </c>
    </row>
    <row r="30" spans="1:2" x14ac:dyDescent="0.2">
      <c r="A30" t="s">
        <v>55</v>
      </c>
    </row>
    <row r="31" spans="1:2" x14ac:dyDescent="0.2">
      <c r="A31" t="s">
        <v>89</v>
      </c>
    </row>
    <row r="32" spans="1:2" x14ac:dyDescent="0.2">
      <c r="A32" t="s">
        <v>90</v>
      </c>
    </row>
    <row r="33" spans="1:1" x14ac:dyDescent="0.2">
      <c r="A33" t="s">
        <v>91</v>
      </c>
    </row>
    <row r="34" spans="1:1" x14ac:dyDescent="0.2">
      <c r="A34" t="s">
        <v>82</v>
      </c>
    </row>
    <row r="35" spans="1:1" x14ac:dyDescent="0.2">
      <c r="A35" t="s">
        <v>63</v>
      </c>
    </row>
    <row r="36" spans="1:1" x14ac:dyDescent="0.2">
      <c r="A36" t="s">
        <v>92</v>
      </c>
    </row>
    <row r="37" spans="1:1" x14ac:dyDescent="0.2">
      <c r="A37" t="s">
        <v>65</v>
      </c>
    </row>
    <row r="38" spans="1:1" x14ac:dyDescent="0.2">
      <c r="A38" t="s">
        <v>53</v>
      </c>
    </row>
    <row r="39" spans="1:1" x14ac:dyDescent="0.2">
      <c r="A39" t="s">
        <v>73</v>
      </c>
    </row>
    <row r="40" spans="1:1" x14ac:dyDescent="0.2">
      <c r="A40" t="s">
        <v>61</v>
      </c>
    </row>
    <row r="41" spans="1:1" x14ac:dyDescent="0.2">
      <c r="A41" t="s">
        <v>79</v>
      </c>
    </row>
    <row r="42" spans="1:1" x14ac:dyDescent="0.2">
      <c r="A42" t="s">
        <v>68</v>
      </c>
    </row>
    <row r="43" spans="1:1" x14ac:dyDescent="0.2">
      <c r="A43" t="s">
        <v>85</v>
      </c>
    </row>
    <row r="44" spans="1:1" x14ac:dyDescent="0.2">
      <c r="A44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P17" sqref="P17"/>
    </sheetView>
  </sheetViews>
  <sheetFormatPr baseColWidth="10" defaultColWidth="8.83203125" defaultRowHeight="15" x14ac:dyDescent="0.2"/>
  <sheetData>
    <row r="1" spans="1:1" x14ac:dyDescent="0.2">
      <c r="A1" s="1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"/>
  <sheetViews>
    <sheetView workbookViewId="0">
      <selection activeCell="H2" sqref="H2:H17"/>
    </sheetView>
  </sheetViews>
  <sheetFormatPr baseColWidth="10" defaultColWidth="8.83203125" defaultRowHeight="15" x14ac:dyDescent="0.2"/>
  <cols>
    <col min="1" max="1" width="8" bestFit="1" customWidth="1"/>
    <col min="2" max="2" width="4.5" bestFit="1" customWidth="1"/>
    <col min="3" max="3" width="19.6640625" bestFit="1" customWidth="1"/>
    <col min="4" max="4" width="10.1640625" bestFit="1" customWidth="1"/>
    <col min="5" max="5" width="27.1640625" bestFit="1" customWidth="1"/>
    <col min="6" max="6" width="9" customWidth="1"/>
    <col min="7" max="7" width="10.6640625" bestFit="1" customWidth="1"/>
    <col min="8" max="8" width="11.33203125" bestFit="1" customWidth="1"/>
    <col min="9" max="9" width="5.6640625" bestFit="1" customWidth="1"/>
  </cols>
  <sheetData>
    <row r="1" spans="1:9" x14ac:dyDescent="0.2">
      <c r="A1" s="2" t="s">
        <v>4</v>
      </c>
      <c r="B1" s="2" t="s">
        <v>5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11</v>
      </c>
      <c r="I1" s="2" t="s">
        <v>12</v>
      </c>
    </row>
    <row r="2" spans="1:9" x14ac:dyDescent="0.2">
      <c r="A2" s="3">
        <v>62</v>
      </c>
      <c r="B2" s="3" t="s">
        <v>483</v>
      </c>
      <c r="C2" s="3" t="s">
        <v>484</v>
      </c>
      <c r="D2" s="3" t="s">
        <v>2</v>
      </c>
      <c r="E2" t="s">
        <v>298</v>
      </c>
      <c r="F2" t="s">
        <v>49</v>
      </c>
      <c r="G2" t="s">
        <v>499</v>
      </c>
      <c r="H2" t="s">
        <v>17</v>
      </c>
    </row>
    <row r="3" spans="1:9" x14ac:dyDescent="0.2">
      <c r="A3" s="3">
        <v>73</v>
      </c>
      <c r="B3" s="3" t="s">
        <v>483</v>
      </c>
      <c r="C3" s="3" t="s">
        <v>485</v>
      </c>
      <c r="D3" s="3" t="s">
        <v>2</v>
      </c>
      <c r="E3" t="s">
        <v>299</v>
      </c>
      <c r="F3" t="s">
        <v>49</v>
      </c>
      <c r="G3" t="s">
        <v>499</v>
      </c>
      <c r="H3" t="s">
        <v>17</v>
      </c>
    </row>
    <row r="4" spans="1:9" x14ac:dyDescent="0.2">
      <c r="A4" s="3">
        <v>38</v>
      </c>
      <c r="B4" s="3" t="s">
        <v>483</v>
      </c>
      <c r="C4" s="3" t="s">
        <v>273</v>
      </c>
      <c r="D4" s="3" t="s">
        <v>2</v>
      </c>
      <c r="E4" t="s">
        <v>300</v>
      </c>
      <c r="F4" t="s">
        <v>49</v>
      </c>
      <c r="G4" t="s">
        <v>499</v>
      </c>
      <c r="H4" t="s">
        <v>17</v>
      </c>
    </row>
    <row r="5" spans="1:9" x14ac:dyDescent="0.2">
      <c r="A5" s="3">
        <v>291</v>
      </c>
      <c r="B5" s="3" t="s">
        <v>483</v>
      </c>
      <c r="C5" s="3" t="s">
        <v>486</v>
      </c>
      <c r="D5" s="3" t="s">
        <v>2</v>
      </c>
      <c r="E5" t="s">
        <v>303</v>
      </c>
      <c r="F5" t="s">
        <v>49</v>
      </c>
      <c r="G5" t="s">
        <v>499</v>
      </c>
      <c r="H5" t="s">
        <v>17</v>
      </c>
    </row>
    <row r="6" spans="1:9" x14ac:dyDescent="0.2">
      <c r="A6" s="3">
        <v>52</v>
      </c>
      <c r="B6" s="3" t="s">
        <v>483</v>
      </c>
      <c r="C6" s="3" t="s">
        <v>487</v>
      </c>
      <c r="D6" s="3" t="s">
        <v>2</v>
      </c>
      <c r="E6" t="s">
        <v>307</v>
      </c>
      <c r="F6" t="s">
        <v>49</v>
      </c>
      <c r="G6" t="s">
        <v>499</v>
      </c>
      <c r="H6" t="s">
        <v>17</v>
      </c>
    </row>
    <row r="7" spans="1:9" x14ac:dyDescent="0.2">
      <c r="A7" s="3">
        <v>341</v>
      </c>
      <c r="B7" s="3" t="s">
        <v>483</v>
      </c>
      <c r="C7" s="3" t="s">
        <v>488</v>
      </c>
      <c r="D7" s="3" t="s">
        <v>2</v>
      </c>
      <c r="E7" t="s">
        <v>266</v>
      </c>
      <c r="F7" t="s">
        <v>49</v>
      </c>
      <c r="G7" t="s">
        <v>499</v>
      </c>
      <c r="H7" t="s">
        <v>17</v>
      </c>
    </row>
    <row r="8" spans="1:9" x14ac:dyDescent="0.2">
      <c r="A8" s="3">
        <v>392</v>
      </c>
      <c r="B8" s="3" t="s">
        <v>483</v>
      </c>
      <c r="C8" s="3" t="s">
        <v>489</v>
      </c>
      <c r="D8" s="3" t="s">
        <v>2</v>
      </c>
      <c r="E8" t="s">
        <v>266</v>
      </c>
      <c r="F8" t="s">
        <v>49</v>
      </c>
      <c r="G8" t="s">
        <v>499</v>
      </c>
      <c r="H8" t="s">
        <v>17</v>
      </c>
    </row>
    <row r="9" spans="1:9" x14ac:dyDescent="0.2">
      <c r="A9" s="3">
        <v>32</v>
      </c>
      <c r="B9" s="3" t="s">
        <v>483</v>
      </c>
      <c r="C9" s="3" t="s">
        <v>490</v>
      </c>
      <c r="D9" s="3" t="s">
        <v>2</v>
      </c>
      <c r="E9" t="s">
        <v>266</v>
      </c>
      <c r="F9" t="s">
        <v>49</v>
      </c>
      <c r="G9" t="s">
        <v>499</v>
      </c>
      <c r="H9" t="s">
        <v>17</v>
      </c>
    </row>
    <row r="10" spans="1:9" x14ac:dyDescent="0.2">
      <c r="A10" s="3">
        <v>210</v>
      </c>
      <c r="B10" s="3" t="s">
        <v>483</v>
      </c>
      <c r="C10" s="3" t="s">
        <v>491</v>
      </c>
      <c r="D10" s="3" t="s">
        <v>2</v>
      </c>
      <c r="E10" t="s">
        <v>305</v>
      </c>
      <c r="F10" t="s">
        <v>49</v>
      </c>
      <c r="G10" t="s">
        <v>499</v>
      </c>
      <c r="H10" t="s">
        <v>17</v>
      </c>
    </row>
    <row r="11" spans="1:9" x14ac:dyDescent="0.2">
      <c r="A11" s="3">
        <v>20</v>
      </c>
      <c r="B11" s="3" t="s">
        <v>483</v>
      </c>
      <c r="C11" s="3" t="s">
        <v>492</v>
      </c>
      <c r="D11" s="3" t="s">
        <v>2</v>
      </c>
      <c r="E11" t="s">
        <v>302</v>
      </c>
      <c r="F11" t="s">
        <v>49</v>
      </c>
      <c r="G11" t="s">
        <v>499</v>
      </c>
      <c r="H11" t="s">
        <v>17</v>
      </c>
    </row>
    <row r="12" spans="1:9" x14ac:dyDescent="0.2">
      <c r="A12" s="3">
        <v>39</v>
      </c>
      <c r="B12" s="3" t="s">
        <v>483</v>
      </c>
      <c r="C12" s="3" t="s">
        <v>493</v>
      </c>
      <c r="D12" s="3" t="s">
        <v>2</v>
      </c>
      <c r="E12" t="s">
        <v>305</v>
      </c>
      <c r="F12" t="s">
        <v>49</v>
      </c>
      <c r="G12" t="s">
        <v>499</v>
      </c>
      <c r="H12" t="s">
        <v>17</v>
      </c>
    </row>
    <row r="13" spans="1:9" x14ac:dyDescent="0.2">
      <c r="A13" s="3">
        <v>800</v>
      </c>
      <c r="B13" s="3" t="s">
        <v>483</v>
      </c>
      <c r="C13" s="3" t="s">
        <v>494</v>
      </c>
      <c r="D13" s="3" t="s">
        <v>2</v>
      </c>
      <c r="E13" t="s">
        <v>306</v>
      </c>
      <c r="F13" t="s">
        <v>49</v>
      </c>
      <c r="G13" t="s">
        <v>499</v>
      </c>
      <c r="H13" t="s">
        <v>17</v>
      </c>
    </row>
    <row r="14" spans="1:9" x14ac:dyDescent="0.2">
      <c r="A14" s="3">
        <v>118</v>
      </c>
      <c r="B14" s="3" t="s">
        <v>483</v>
      </c>
      <c r="C14" s="3" t="s">
        <v>495</v>
      </c>
      <c r="D14" s="3" t="s">
        <v>2</v>
      </c>
      <c r="E14" t="s">
        <v>306</v>
      </c>
      <c r="F14" t="s">
        <v>49</v>
      </c>
      <c r="G14" t="s">
        <v>499</v>
      </c>
      <c r="H14" t="s">
        <v>17</v>
      </c>
    </row>
    <row r="15" spans="1:9" x14ac:dyDescent="0.2">
      <c r="A15" s="3">
        <v>98</v>
      </c>
      <c r="B15" s="3" t="s">
        <v>483</v>
      </c>
      <c r="C15" s="3" t="s">
        <v>496</v>
      </c>
      <c r="D15" s="3" t="s">
        <v>2</v>
      </c>
      <c r="E15" t="s">
        <v>306</v>
      </c>
      <c r="F15" t="s">
        <v>49</v>
      </c>
      <c r="G15" t="s">
        <v>499</v>
      </c>
      <c r="H15" t="s">
        <v>17</v>
      </c>
    </row>
    <row r="16" spans="1:9" x14ac:dyDescent="0.2">
      <c r="A16" s="3">
        <v>11</v>
      </c>
      <c r="B16" s="3" t="s">
        <v>483</v>
      </c>
      <c r="C16" s="3" t="s">
        <v>497</v>
      </c>
      <c r="D16" s="3" t="s">
        <v>2</v>
      </c>
      <c r="E16" t="s">
        <v>304</v>
      </c>
      <c r="F16" t="s">
        <v>49</v>
      </c>
      <c r="G16" t="s">
        <v>499</v>
      </c>
      <c r="H16" t="s">
        <v>17</v>
      </c>
    </row>
    <row r="17" spans="1:8" x14ac:dyDescent="0.2">
      <c r="A17" s="3">
        <v>59</v>
      </c>
      <c r="B17" s="3" t="s">
        <v>483</v>
      </c>
      <c r="C17" s="3" t="s">
        <v>498</v>
      </c>
      <c r="D17" s="3" t="s">
        <v>2</v>
      </c>
      <c r="E17" t="s">
        <v>305</v>
      </c>
      <c r="F17" t="s">
        <v>49</v>
      </c>
      <c r="G17" t="s">
        <v>499</v>
      </c>
      <c r="H17" t="s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7"/>
  <sheetViews>
    <sheetView workbookViewId="0">
      <selection activeCell="H2" sqref="H2:H17"/>
    </sheetView>
  </sheetViews>
  <sheetFormatPr baseColWidth="10" defaultColWidth="8.83203125" defaultRowHeight="15" x14ac:dyDescent="0.2"/>
  <sheetData>
    <row r="1" spans="1:9" x14ac:dyDescent="0.2">
      <c r="A1" s="2" t="s">
        <v>4</v>
      </c>
      <c r="B1" s="2" t="s">
        <v>5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11</v>
      </c>
      <c r="I1" s="2" t="s">
        <v>12</v>
      </c>
    </row>
    <row r="2" spans="1:9" x14ac:dyDescent="0.2">
      <c r="A2" s="3">
        <v>25</v>
      </c>
      <c r="B2" s="3" t="s">
        <v>483</v>
      </c>
      <c r="C2" s="3" t="s">
        <v>484</v>
      </c>
      <c r="D2" s="3" t="s">
        <v>2</v>
      </c>
      <c r="E2" t="s">
        <v>298</v>
      </c>
      <c r="F2" t="s">
        <v>49</v>
      </c>
      <c r="G2" t="s">
        <v>499</v>
      </c>
      <c r="H2" t="s">
        <v>17</v>
      </c>
    </row>
    <row r="3" spans="1:9" x14ac:dyDescent="0.2">
      <c r="A3" s="3">
        <v>33</v>
      </c>
      <c r="B3" s="3" t="s">
        <v>483</v>
      </c>
      <c r="C3" s="3" t="s">
        <v>485</v>
      </c>
      <c r="D3" s="3" t="s">
        <v>2</v>
      </c>
      <c r="E3" t="s">
        <v>299</v>
      </c>
      <c r="F3" t="s">
        <v>49</v>
      </c>
      <c r="G3" t="s">
        <v>499</v>
      </c>
      <c r="H3" t="s">
        <v>17</v>
      </c>
    </row>
    <row r="4" spans="1:9" x14ac:dyDescent="0.2">
      <c r="A4" s="3">
        <v>18</v>
      </c>
      <c r="B4" s="3" t="s">
        <v>483</v>
      </c>
      <c r="C4" s="3" t="s">
        <v>273</v>
      </c>
      <c r="D4" s="3" t="s">
        <v>2</v>
      </c>
      <c r="E4" t="s">
        <v>300</v>
      </c>
      <c r="F4" t="s">
        <v>49</v>
      </c>
      <c r="G4" t="s">
        <v>499</v>
      </c>
      <c r="H4" t="s">
        <v>17</v>
      </c>
    </row>
    <row r="5" spans="1:9" x14ac:dyDescent="0.2">
      <c r="A5" s="3">
        <v>253</v>
      </c>
      <c r="B5" s="3" t="s">
        <v>483</v>
      </c>
      <c r="C5" s="3" t="s">
        <v>486</v>
      </c>
      <c r="D5" s="3" t="s">
        <v>2</v>
      </c>
      <c r="E5" t="s">
        <v>303</v>
      </c>
      <c r="F5" t="s">
        <v>49</v>
      </c>
      <c r="G5" t="s">
        <v>499</v>
      </c>
      <c r="H5" t="s">
        <v>17</v>
      </c>
    </row>
    <row r="6" spans="1:9" x14ac:dyDescent="0.2">
      <c r="A6" s="3">
        <v>44</v>
      </c>
      <c r="B6" s="3" t="s">
        <v>483</v>
      </c>
      <c r="C6" s="3" t="s">
        <v>487</v>
      </c>
      <c r="D6" s="3" t="s">
        <v>2</v>
      </c>
      <c r="E6" t="s">
        <v>307</v>
      </c>
      <c r="F6" t="s">
        <v>49</v>
      </c>
      <c r="G6" t="s">
        <v>499</v>
      </c>
      <c r="H6" t="s">
        <v>17</v>
      </c>
    </row>
    <row r="7" spans="1:9" x14ac:dyDescent="0.2">
      <c r="A7" s="3">
        <v>336</v>
      </c>
      <c r="B7" s="3" t="s">
        <v>483</v>
      </c>
      <c r="C7" s="3" t="s">
        <v>488</v>
      </c>
      <c r="D7" s="3" t="s">
        <v>2</v>
      </c>
      <c r="E7" t="s">
        <v>266</v>
      </c>
      <c r="F7" t="s">
        <v>49</v>
      </c>
      <c r="G7" t="s">
        <v>499</v>
      </c>
      <c r="H7" t="s">
        <v>17</v>
      </c>
    </row>
    <row r="8" spans="1:9" x14ac:dyDescent="0.2">
      <c r="A8" s="3">
        <v>350</v>
      </c>
      <c r="B8" s="3" t="s">
        <v>483</v>
      </c>
      <c r="C8" s="3" t="s">
        <v>489</v>
      </c>
      <c r="D8" s="3" t="s">
        <v>2</v>
      </c>
      <c r="E8" t="s">
        <v>266</v>
      </c>
      <c r="F8" t="s">
        <v>49</v>
      </c>
      <c r="G8" t="s">
        <v>499</v>
      </c>
      <c r="H8" t="s">
        <v>17</v>
      </c>
    </row>
    <row r="9" spans="1:9" x14ac:dyDescent="0.2">
      <c r="A9" s="3">
        <v>38</v>
      </c>
      <c r="B9" s="3" t="s">
        <v>483</v>
      </c>
      <c r="C9" s="3" t="s">
        <v>490</v>
      </c>
      <c r="D9" s="3" t="s">
        <v>2</v>
      </c>
      <c r="E9" t="s">
        <v>266</v>
      </c>
      <c r="F9" t="s">
        <v>49</v>
      </c>
      <c r="G9" t="s">
        <v>499</v>
      </c>
      <c r="H9" t="s">
        <v>17</v>
      </c>
    </row>
    <row r="10" spans="1:9" x14ac:dyDescent="0.2">
      <c r="A10" s="3">
        <v>185</v>
      </c>
      <c r="B10" s="3" t="s">
        <v>483</v>
      </c>
      <c r="C10" s="3" t="s">
        <v>491</v>
      </c>
      <c r="D10" s="3" t="s">
        <v>2</v>
      </c>
      <c r="E10" t="s">
        <v>305</v>
      </c>
      <c r="F10" t="s">
        <v>49</v>
      </c>
      <c r="G10" t="s">
        <v>499</v>
      </c>
      <c r="H10" t="s">
        <v>17</v>
      </c>
    </row>
    <row r="11" spans="1:9" x14ac:dyDescent="0.2">
      <c r="A11">
        <v>19</v>
      </c>
      <c r="B11" s="3" t="s">
        <v>483</v>
      </c>
      <c r="C11" t="s">
        <v>492</v>
      </c>
      <c r="D11" s="3" t="s">
        <v>2</v>
      </c>
      <c r="E11" t="s">
        <v>302</v>
      </c>
      <c r="F11" t="s">
        <v>49</v>
      </c>
      <c r="G11" t="s">
        <v>499</v>
      </c>
      <c r="H11" t="s">
        <v>17</v>
      </c>
    </row>
    <row r="12" spans="1:9" x14ac:dyDescent="0.2">
      <c r="A12">
        <v>30</v>
      </c>
      <c r="B12" s="3" t="s">
        <v>483</v>
      </c>
      <c r="C12" t="s">
        <v>493</v>
      </c>
      <c r="D12" s="3" t="s">
        <v>2</v>
      </c>
      <c r="E12" t="s">
        <v>305</v>
      </c>
      <c r="F12" t="s">
        <v>49</v>
      </c>
      <c r="G12" t="s">
        <v>499</v>
      </c>
      <c r="H12" t="s">
        <v>17</v>
      </c>
    </row>
    <row r="13" spans="1:9" x14ac:dyDescent="0.2">
      <c r="A13">
        <v>790</v>
      </c>
      <c r="B13" s="3" t="s">
        <v>483</v>
      </c>
      <c r="C13" t="s">
        <v>494</v>
      </c>
      <c r="D13" s="3" t="s">
        <v>2</v>
      </c>
      <c r="E13" t="s">
        <v>306</v>
      </c>
      <c r="F13" t="s">
        <v>49</v>
      </c>
      <c r="G13" t="s">
        <v>499</v>
      </c>
      <c r="H13" t="s">
        <v>17</v>
      </c>
    </row>
    <row r="14" spans="1:9" x14ac:dyDescent="0.2">
      <c r="A14">
        <v>89</v>
      </c>
      <c r="B14" s="3" t="s">
        <v>483</v>
      </c>
      <c r="C14" t="s">
        <v>495</v>
      </c>
      <c r="D14" s="3" t="s">
        <v>2</v>
      </c>
      <c r="E14" t="s">
        <v>306</v>
      </c>
      <c r="F14" t="s">
        <v>49</v>
      </c>
      <c r="G14" t="s">
        <v>499</v>
      </c>
      <c r="H14" t="s">
        <v>17</v>
      </c>
    </row>
    <row r="15" spans="1:9" x14ac:dyDescent="0.2">
      <c r="A15">
        <v>79</v>
      </c>
      <c r="B15" s="3" t="s">
        <v>483</v>
      </c>
      <c r="C15" t="s">
        <v>496</v>
      </c>
      <c r="D15" s="3" t="s">
        <v>2</v>
      </c>
      <c r="E15" t="s">
        <v>306</v>
      </c>
      <c r="F15" t="s">
        <v>49</v>
      </c>
      <c r="G15" t="s">
        <v>499</v>
      </c>
      <c r="H15" t="s">
        <v>17</v>
      </c>
    </row>
    <row r="16" spans="1:9" x14ac:dyDescent="0.2">
      <c r="A16">
        <v>10</v>
      </c>
      <c r="B16" s="3" t="s">
        <v>483</v>
      </c>
      <c r="C16" t="s">
        <v>497</v>
      </c>
      <c r="D16" s="3" t="s">
        <v>2</v>
      </c>
      <c r="E16" t="s">
        <v>304</v>
      </c>
      <c r="F16" t="s">
        <v>49</v>
      </c>
      <c r="G16" t="s">
        <v>499</v>
      </c>
      <c r="H16" t="s">
        <v>17</v>
      </c>
    </row>
    <row r="17" spans="1:8" x14ac:dyDescent="0.2">
      <c r="A17">
        <v>49</v>
      </c>
      <c r="B17" s="3" t="s">
        <v>483</v>
      </c>
      <c r="C17" t="s">
        <v>498</v>
      </c>
      <c r="D17" s="3" t="s">
        <v>2</v>
      </c>
      <c r="E17" t="s">
        <v>305</v>
      </c>
      <c r="F17" t="s">
        <v>49</v>
      </c>
      <c r="G17" t="s">
        <v>499</v>
      </c>
      <c r="H17" t="s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7"/>
  <sheetViews>
    <sheetView workbookViewId="0">
      <selection activeCell="L20" sqref="L20"/>
    </sheetView>
  </sheetViews>
  <sheetFormatPr baseColWidth="10" defaultColWidth="8.83203125" defaultRowHeight="15" x14ac:dyDescent="0.2"/>
  <sheetData>
    <row r="1" spans="1:9" x14ac:dyDescent="0.2">
      <c r="A1" s="2" t="s">
        <v>4</v>
      </c>
      <c r="B1" s="2" t="s">
        <v>5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11</v>
      </c>
      <c r="I1" s="2" t="s">
        <v>12</v>
      </c>
    </row>
    <row r="2" spans="1:9" x14ac:dyDescent="0.2">
      <c r="A2" s="3">
        <v>9</v>
      </c>
      <c r="B2" s="3" t="s">
        <v>483</v>
      </c>
      <c r="C2" s="3" t="s">
        <v>484</v>
      </c>
      <c r="D2" t="s">
        <v>2</v>
      </c>
      <c r="E2" t="s">
        <v>298</v>
      </c>
      <c r="F2" s="3" t="s">
        <v>49</v>
      </c>
      <c r="G2" t="s">
        <v>499</v>
      </c>
      <c r="H2" t="s">
        <v>17</v>
      </c>
    </row>
    <row r="3" spans="1:9" x14ac:dyDescent="0.2">
      <c r="A3" s="3">
        <v>14</v>
      </c>
      <c r="B3" s="3" t="s">
        <v>483</v>
      </c>
      <c r="C3" s="3" t="s">
        <v>485</v>
      </c>
      <c r="D3" t="s">
        <v>2</v>
      </c>
      <c r="E3" t="s">
        <v>299</v>
      </c>
      <c r="F3" s="3" t="s">
        <v>49</v>
      </c>
      <c r="G3" t="s">
        <v>499</v>
      </c>
      <c r="H3" t="s">
        <v>17</v>
      </c>
    </row>
    <row r="4" spans="1:9" x14ac:dyDescent="0.2">
      <c r="A4" s="3">
        <v>8</v>
      </c>
      <c r="B4" s="3" t="s">
        <v>483</v>
      </c>
      <c r="C4" s="3" t="s">
        <v>273</v>
      </c>
      <c r="D4" t="s">
        <v>2</v>
      </c>
      <c r="E4" t="s">
        <v>300</v>
      </c>
      <c r="F4" s="3" t="s">
        <v>49</v>
      </c>
      <c r="G4" t="s">
        <v>499</v>
      </c>
      <c r="H4" t="s">
        <v>17</v>
      </c>
    </row>
    <row r="5" spans="1:9" x14ac:dyDescent="0.2">
      <c r="A5" s="3">
        <v>222</v>
      </c>
      <c r="B5" s="3" t="s">
        <v>483</v>
      </c>
      <c r="C5" s="3" t="s">
        <v>486</v>
      </c>
      <c r="D5" t="s">
        <v>2</v>
      </c>
      <c r="E5" t="s">
        <v>303</v>
      </c>
      <c r="F5" s="3" t="s">
        <v>49</v>
      </c>
      <c r="G5" t="s">
        <v>499</v>
      </c>
      <c r="H5" t="s">
        <v>17</v>
      </c>
    </row>
    <row r="6" spans="1:9" x14ac:dyDescent="0.2">
      <c r="A6" s="3">
        <v>40</v>
      </c>
      <c r="B6" s="3" t="s">
        <v>483</v>
      </c>
      <c r="C6" s="3" t="s">
        <v>487</v>
      </c>
      <c r="D6" t="s">
        <v>2</v>
      </c>
      <c r="E6" t="s">
        <v>307</v>
      </c>
      <c r="F6" s="3" t="s">
        <v>49</v>
      </c>
      <c r="G6" t="s">
        <v>499</v>
      </c>
      <c r="H6" t="s">
        <v>17</v>
      </c>
    </row>
    <row r="7" spans="1:9" x14ac:dyDescent="0.2">
      <c r="A7" s="3">
        <v>358</v>
      </c>
      <c r="B7" s="3" t="s">
        <v>483</v>
      </c>
      <c r="C7" s="3" t="s">
        <v>488</v>
      </c>
      <c r="D7" t="s">
        <v>2</v>
      </c>
      <c r="E7" t="s">
        <v>266</v>
      </c>
      <c r="F7" s="3" t="s">
        <v>49</v>
      </c>
      <c r="G7" t="s">
        <v>499</v>
      </c>
      <c r="H7" t="s">
        <v>17</v>
      </c>
    </row>
    <row r="8" spans="1:9" x14ac:dyDescent="0.2">
      <c r="A8" s="3">
        <v>378</v>
      </c>
      <c r="B8" s="3" t="s">
        <v>483</v>
      </c>
      <c r="C8" s="3" t="s">
        <v>489</v>
      </c>
      <c r="D8" t="s">
        <v>2</v>
      </c>
      <c r="E8" t="s">
        <v>266</v>
      </c>
      <c r="F8" s="3" t="s">
        <v>49</v>
      </c>
      <c r="G8" t="s">
        <v>499</v>
      </c>
      <c r="H8" t="s">
        <v>17</v>
      </c>
    </row>
    <row r="9" spans="1:9" x14ac:dyDescent="0.2">
      <c r="A9" s="3">
        <v>66</v>
      </c>
      <c r="B9" s="3" t="s">
        <v>483</v>
      </c>
      <c r="C9" s="3" t="s">
        <v>490</v>
      </c>
      <c r="D9" t="s">
        <v>2</v>
      </c>
      <c r="E9" t="s">
        <v>266</v>
      </c>
      <c r="F9" s="3" t="s">
        <v>49</v>
      </c>
      <c r="G9" t="s">
        <v>499</v>
      </c>
      <c r="H9" t="s">
        <v>17</v>
      </c>
    </row>
    <row r="10" spans="1:9" x14ac:dyDescent="0.2">
      <c r="A10" s="3">
        <v>180</v>
      </c>
      <c r="B10" s="3" t="s">
        <v>483</v>
      </c>
      <c r="C10" s="3" t="s">
        <v>491</v>
      </c>
      <c r="D10" t="s">
        <v>2</v>
      </c>
      <c r="E10" t="s">
        <v>305</v>
      </c>
      <c r="F10" s="3" t="s">
        <v>49</v>
      </c>
      <c r="G10" t="s">
        <v>499</v>
      </c>
      <c r="H10" t="s">
        <v>17</v>
      </c>
    </row>
    <row r="11" spans="1:9" x14ac:dyDescent="0.2">
      <c r="A11" s="3">
        <v>20</v>
      </c>
      <c r="B11" s="3" t="s">
        <v>483</v>
      </c>
      <c r="C11" s="3" t="s">
        <v>492</v>
      </c>
      <c r="D11" t="s">
        <v>2</v>
      </c>
      <c r="E11" t="s">
        <v>302</v>
      </c>
      <c r="F11" s="3" t="s">
        <v>49</v>
      </c>
      <c r="G11" t="s">
        <v>499</v>
      </c>
      <c r="H11" t="s">
        <v>17</v>
      </c>
    </row>
    <row r="12" spans="1:9" x14ac:dyDescent="0.2">
      <c r="A12" s="3">
        <v>24</v>
      </c>
      <c r="B12" s="3" t="s">
        <v>483</v>
      </c>
      <c r="C12" s="3" t="s">
        <v>493</v>
      </c>
      <c r="D12" t="s">
        <v>2</v>
      </c>
      <c r="E12" t="s">
        <v>305</v>
      </c>
      <c r="F12" s="3" t="s">
        <v>49</v>
      </c>
      <c r="G12" t="s">
        <v>499</v>
      </c>
      <c r="H12" t="s">
        <v>17</v>
      </c>
    </row>
    <row r="13" spans="1:9" x14ac:dyDescent="0.2">
      <c r="A13" s="3">
        <v>836</v>
      </c>
      <c r="B13" s="3" t="s">
        <v>483</v>
      </c>
      <c r="C13" s="3" t="s">
        <v>494</v>
      </c>
      <c r="D13" t="s">
        <v>2</v>
      </c>
      <c r="E13" t="s">
        <v>306</v>
      </c>
      <c r="F13" s="3" t="s">
        <v>49</v>
      </c>
      <c r="G13" t="s">
        <v>499</v>
      </c>
      <c r="H13" t="s">
        <v>17</v>
      </c>
    </row>
    <row r="14" spans="1:9" x14ac:dyDescent="0.2">
      <c r="A14" s="3">
        <v>77</v>
      </c>
      <c r="B14" s="3" t="s">
        <v>483</v>
      </c>
      <c r="C14" s="3" t="s">
        <v>495</v>
      </c>
      <c r="D14" t="s">
        <v>2</v>
      </c>
      <c r="E14" t="s">
        <v>306</v>
      </c>
      <c r="F14" s="3" t="s">
        <v>49</v>
      </c>
      <c r="G14" t="s">
        <v>499</v>
      </c>
      <c r="H14" t="s">
        <v>17</v>
      </c>
    </row>
    <row r="15" spans="1:9" x14ac:dyDescent="0.2">
      <c r="A15" s="3">
        <v>67</v>
      </c>
      <c r="B15" s="3" t="s">
        <v>483</v>
      </c>
      <c r="C15" s="3" t="s">
        <v>496</v>
      </c>
      <c r="D15" t="s">
        <v>2</v>
      </c>
      <c r="E15" t="s">
        <v>306</v>
      </c>
      <c r="F15" s="3" t="s">
        <v>49</v>
      </c>
      <c r="G15" t="s">
        <v>499</v>
      </c>
      <c r="H15" t="s">
        <v>17</v>
      </c>
    </row>
    <row r="16" spans="1:9" x14ac:dyDescent="0.2">
      <c r="A16" s="3">
        <v>9</v>
      </c>
      <c r="B16" s="3" t="s">
        <v>483</v>
      </c>
      <c r="C16" s="3" t="s">
        <v>497</v>
      </c>
      <c r="D16" t="s">
        <v>2</v>
      </c>
      <c r="E16" t="s">
        <v>304</v>
      </c>
      <c r="F16" s="3" t="s">
        <v>49</v>
      </c>
      <c r="G16" t="s">
        <v>499</v>
      </c>
      <c r="H16" t="s">
        <v>17</v>
      </c>
    </row>
    <row r="17" spans="1:8" x14ac:dyDescent="0.2">
      <c r="A17" s="3">
        <v>44</v>
      </c>
      <c r="B17" s="3" t="s">
        <v>483</v>
      </c>
      <c r="C17" s="3" t="s">
        <v>498</v>
      </c>
      <c r="D17" t="s">
        <v>2</v>
      </c>
      <c r="E17" t="s">
        <v>305</v>
      </c>
      <c r="F17" s="3" t="s">
        <v>49</v>
      </c>
      <c r="G17" t="s">
        <v>499</v>
      </c>
      <c r="H17" t="s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"/>
  <sheetViews>
    <sheetView workbookViewId="0">
      <selection activeCell="A2" sqref="A2:A17"/>
    </sheetView>
  </sheetViews>
  <sheetFormatPr baseColWidth="10" defaultColWidth="8.83203125" defaultRowHeight="15" x14ac:dyDescent="0.2"/>
  <sheetData>
    <row r="1" spans="1:9" x14ac:dyDescent="0.2">
      <c r="A1" s="2" t="s">
        <v>4</v>
      </c>
      <c r="B1" s="2" t="s">
        <v>5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11</v>
      </c>
      <c r="I1" s="2" t="s">
        <v>12</v>
      </c>
    </row>
    <row r="2" spans="1:9" x14ac:dyDescent="0.2">
      <c r="A2" s="3">
        <v>0</v>
      </c>
      <c r="B2" t="s">
        <v>483</v>
      </c>
      <c r="C2" t="s">
        <v>484</v>
      </c>
      <c r="D2" t="s">
        <v>2</v>
      </c>
      <c r="E2" t="s">
        <v>298</v>
      </c>
      <c r="F2" t="s">
        <v>49</v>
      </c>
      <c r="G2" t="s">
        <v>499</v>
      </c>
      <c r="H2" t="s">
        <v>17</v>
      </c>
    </row>
    <row r="3" spans="1:9" x14ac:dyDescent="0.2">
      <c r="A3" s="3">
        <v>0</v>
      </c>
      <c r="B3" t="s">
        <v>483</v>
      </c>
      <c r="C3" t="s">
        <v>485</v>
      </c>
      <c r="D3" t="s">
        <v>2</v>
      </c>
      <c r="E3" t="s">
        <v>299</v>
      </c>
      <c r="F3" t="s">
        <v>49</v>
      </c>
      <c r="G3" t="s">
        <v>499</v>
      </c>
      <c r="H3" t="s">
        <v>17</v>
      </c>
    </row>
    <row r="4" spans="1:9" x14ac:dyDescent="0.2">
      <c r="A4" s="3">
        <v>0</v>
      </c>
      <c r="B4" t="s">
        <v>483</v>
      </c>
      <c r="C4" t="s">
        <v>273</v>
      </c>
      <c r="D4" t="s">
        <v>2</v>
      </c>
      <c r="E4" t="s">
        <v>300</v>
      </c>
      <c r="F4" t="s">
        <v>49</v>
      </c>
      <c r="G4" t="s">
        <v>499</v>
      </c>
      <c r="H4" t="s">
        <v>17</v>
      </c>
    </row>
    <row r="5" spans="1:9" x14ac:dyDescent="0.2">
      <c r="A5" s="3">
        <v>190</v>
      </c>
      <c r="B5" t="s">
        <v>483</v>
      </c>
      <c r="C5" t="s">
        <v>486</v>
      </c>
      <c r="D5" t="s">
        <v>2</v>
      </c>
      <c r="E5" t="s">
        <v>303</v>
      </c>
      <c r="F5" t="s">
        <v>49</v>
      </c>
      <c r="G5" t="s">
        <v>499</v>
      </c>
      <c r="H5" t="s">
        <v>17</v>
      </c>
    </row>
    <row r="6" spans="1:9" x14ac:dyDescent="0.2">
      <c r="A6" s="3">
        <v>48</v>
      </c>
      <c r="B6" t="s">
        <v>483</v>
      </c>
      <c r="C6" t="s">
        <v>487</v>
      </c>
      <c r="D6" t="s">
        <v>2</v>
      </c>
      <c r="E6" t="s">
        <v>307</v>
      </c>
      <c r="F6" t="s">
        <v>49</v>
      </c>
      <c r="G6" t="s">
        <v>499</v>
      </c>
      <c r="H6" t="s">
        <v>17</v>
      </c>
    </row>
    <row r="7" spans="1:9" x14ac:dyDescent="0.2">
      <c r="A7" s="3">
        <v>419</v>
      </c>
      <c r="B7" t="s">
        <v>483</v>
      </c>
      <c r="C7" t="s">
        <v>488</v>
      </c>
      <c r="D7" t="s">
        <v>2</v>
      </c>
      <c r="E7" t="s">
        <v>266</v>
      </c>
      <c r="F7" t="s">
        <v>49</v>
      </c>
      <c r="G7" t="s">
        <v>499</v>
      </c>
      <c r="H7" t="s">
        <v>17</v>
      </c>
    </row>
    <row r="8" spans="1:9" x14ac:dyDescent="0.2">
      <c r="A8" s="3">
        <v>501</v>
      </c>
      <c r="B8" t="s">
        <v>483</v>
      </c>
      <c r="C8" t="s">
        <v>489</v>
      </c>
      <c r="D8" t="s">
        <v>2</v>
      </c>
      <c r="E8" t="s">
        <v>266</v>
      </c>
      <c r="F8" t="s">
        <v>49</v>
      </c>
      <c r="G8" t="s">
        <v>499</v>
      </c>
      <c r="H8" t="s">
        <v>17</v>
      </c>
    </row>
    <row r="9" spans="1:9" x14ac:dyDescent="0.2">
      <c r="A9" s="3">
        <v>162</v>
      </c>
      <c r="B9" t="s">
        <v>483</v>
      </c>
      <c r="C9" t="s">
        <v>490</v>
      </c>
      <c r="D9" t="s">
        <v>2</v>
      </c>
      <c r="E9" t="s">
        <v>266</v>
      </c>
      <c r="F9" t="s">
        <v>49</v>
      </c>
      <c r="G9" t="s">
        <v>499</v>
      </c>
      <c r="H9" t="s">
        <v>17</v>
      </c>
    </row>
    <row r="10" spans="1:9" x14ac:dyDescent="0.2">
      <c r="A10" s="3">
        <v>211</v>
      </c>
      <c r="B10" t="s">
        <v>483</v>
      </c>
      <c r="C10" t="s">
        <v>491</v>
      </c>
      <c r="D10" t="s">
        <v>2</v>
      </c>
      <c r="E10" t="s">
        <v>305</v>
      </c>
      <c r="F10" t="s">
        <v>49</v>
      </c>
      <c r="G10" t="s">
        <v>499</v>
      </c>
      <c r="H10" t="s">
        <v>17</v>
      </c>
    </row>
    <row r="11" spans="1:9" x14ac:dyDescent="0.2">
      <c r="A11" s="3">
        <v>23</v>
      </c>
      <c r="B11" t="s">
        <v>483</v>
      </c>
      <c r="C11" t="s">
        <v>492</v>
      </c>
      <c r="D11" t="s">
        <v>2</v>
      </c>
      <c r="E11" t="s">
        <v>302</v>
      </c>
      <c r="F11" t="s">
        <v>49</v>
      </c>
      <c r="G11" t="s">
        <v>499</v>
      </c>
      <c r="H11" t="s">
        <v>17</v>
      </c>
    </row>
    <row r="12" spans="1:9" x14ac:dyDescent="0.2">
      <c r="A12" s="3">
        <v>21</v>
      </c>
      <c r="B12" t="s">
        <v>483</v>
      </c>
      <c r="C12" t="s">
        <v>493</v>
      </c>
      <c r="D12" t="s">
        <v>2</v>
      </c>
      <c r="E12" t="s">
        <v>305</v>
      </c>
      <c r="F12" t="s">
        <v>49</v>
      </c>
      <c r="G12" t="s">
        <v>499</v>
      </c>
      <c r="H12" t="s">
        <v>17</v>
      </c>
    </row>
    <row r="13" spans="1:9" x14ac:dyDescent="0.2">
      <c r="A13" s="3">
        <v>919</v>
      </c>
      <c r="B13" t="s">
        <v>483</v>
      </c>
      <c r="C13" t="s">
        <v>494</v>
      </c>
      <c r="D13" t="s">
        <v>2</v>
      </c>
      <c r="E13" t="s">
        <v>306</v>
      </c>
      <c r="F13" t="s">
        <v>49</v>
      </c>
      <c r="G13" t="s">
        <v>499</v>
      </c>
      <c r="H13" t="s">
        <v>17</v>
      </c>
    </row>
    <row r="14" spans="1:9" x14ac:dyDescent="0.2">
      <c r="A14" s="3">
        <v>70</v>
      </c>
      <c r="B14" t="s">
        <v>483</v>
      </c>
      <c r="C14" t="s">
        <v>495</v>
      </c>
      <c r="D14" t="s">
        <v>2</v>
      </c>
      <c r="E14" t="s">
        <v>306</v>
      </c>
      <c r="F14" t="s">
        <v>49</v>
      </c>
      <c r="G14" t="s">
        <v>499</v>
      </c>
      <c r="H14" t="s">
        <v>17</v>
      </c>
    </row>
    <row r="15" spans="1:9" x14ac:dyDescent="0.2">
      <c r="A15" s="3">
        <v>70</v>
      </c>
      <c r="B15" t="s">
        <v>483</v>
      </c>
      <c r="C15" t="s">
        <v>496</v>
      </c>
      <c r="D15" t="s">
        <v>2</v>
      </c>
      <c r="E15" t="s">
        <v>306</v>
      </c>
      <c r="F15" t="s">
        <v>49</v>
      </c>
      <c r="G15" t="s">
        <v>499</v>
      </c>
      <c r="H15" t="s">
        <v>17</v>
      </c>
    </row>
    <row r="16" spans="1:9" x14ac:dyDescent="0.2">
      <c r="A16" s="3">
        <v>9</v>
      </c>
      <c r="B16" t="s">
        <v>483</v>
      </c>
      <c r="C16" t="s">
        <v>497</v>
      </c>
      <c r="D16" t="s">
        <v>2</v>
      </c>
      <c r="E16" t="s">
        <v>304</v>
      </c>
      <c r="F16" t="s">
        <v>49</v>
      </c>
      <c r="G16" t="s">
        <v>499</v>
      </c>
      <c r="H16" t="s">
        <v>17</v>
      </c>
    </row>
    <row r="17" spans="1:8" x14ac:dyDescent="0.2">
      <c r="A17" s="3">
        <v>49</v>
      </c>
      <c r="B17" t="s">
        <v>483</v>
      </c>
      <c r="C17" t="s">
        <v>498</v>
      </c>
      <c r="D17" t="s">
        <v>2</v>
      </c>
      <c r="E17" t="s">
        <v>305</v>
      </c>
      <c r="F17" t="s">
        <v>49</v>
      </c>
      <c r="G17" t="s">
        <v>499</v>
      </c>
      <c r="H17" t="s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7"/>
  <sheetViews>
    <sheetView workbookViewId="0">
      <selection activeCell="A2" sqref="A2:A17"/>
    </sheetView>
  </sheetViews>
  <sheetFormatPr baseColWidth="10" defaultColWidth="8.83203125" defaultRowHeight="15" x14ac:dyDescent="0.2"/>
  <sheetData>
    <row r="1" spans="1:9" x14ac:dyDescent="0.2">
      <c r="A1" s="2" t="s">
        <v>4</v>
      </c>
      <c r="B1" s="2" t="s">
        <v>5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11</v>
      </c>
      <c r="I1" s="2" t="s">
        <v>12</v>
      </c>
    </row>
    <row r="2" spans="1:9" x14ac:dyDescent="0.2">
      <c r="A2" s="4">
        <v>0</v>
      </c>
      <c r="B2" t="s">
        <v>483</v>
      </c>
      <c r="C2" t="s">
        <v>484</v>
      </c>
      <c r="D2" t="s">
        <v>2</v>
      </c>
      <c r="E2" t="s">
        <v>298</v>
      </c>
      <c r="F2" t="s">
        <v>49</v>
      </c>
      <c r="G2" t="s">
        <v>499</v>
      </c>
      <c r="H2" t="s">
        <v>17</v>
      </c>
    </row>
    <row r="3" spans="1:9" x14ac:dyDescent="0.2">
      <c r="A3" s="4">
        <v>0</v>
      </c>
      <c r="B3" t="s">
        <v>483</v>
      </c>
      <c r="C3" t="s">
        <v>485</v>
      </c>
      <c r="D3" t="s">
        <v>2</v>
      </c>
      <c r="E3" t="s">
        <v>299</v>
      </c>
      <c r="F3" t="s">
        <v>49</v>
      </c>
      <c r="G3" t="s">
        <v>499</v>
      </c>
      <c r="H3" t="s">
        <v>17</v>
      </c>
    </row>
    <row r="4" spans="1:9" x14ac:dyDescent="0.2">
      <c r="A4" s="4">
        <v>0</v>
      </c>
      <c r="B4" t="s">
        <v>483</v>
      </c>
      <c r="C4" t="s">
        <v>273</v>
      </c>
      <c r="D4" t="s">
        <v>2</v>
      </c>
      <c r="E4" t="s">
        <v>300</v>
      </c>
      <c r="F4" t="s">
        <v>49</v>
      </c>
      <c r="G4" t="s">
        <v>499</v>
      </c>
      <c r="H4" t="s">
        <v>17</v>
      </c>
    </row>
    <row r="5" spans="1:9" x14ac:dyDescent="0.2">
      <c r="A5" s="4">
        <v>151</v>
      </c>
      <c r="B5" t="s">
        <v>483</v>
      </c>
      <c r="C5" t="s">
        <v>486</v>
      </c>
      <c r="D5" t="s">
        <v>2</v>
      </c>
      <c r="E5" t="s">
        <v>303</v>
      </c>
      <c r="F5" t="s">
        <v>49</v>
      </c>
      <c r="G5" t="s">
        <v>499</v>
      </c>
      <c r="H5" t="s">
        <v>17</v>
      </c>
    </row>
    <row r="6" spans="1:9" x14ac:dyDescent="0.2">
      <c r="A6" s="4">
        <v>0</v>
      </c>
      <c r="B6" t="s">
        <v>483</v>
      </c>
      <c r="C6" t="s">
        <v>487</v>
      </c>
      <c r="D6" t="s">
        <v>2</v>
      </c>
      <c r="E6" t="s">
        <v>307</v>
      </c>
      <c r="F6" t="s">
        <v>49</v>
      </c>
      <c r="G6" t="s">
        <v>499</v>
      </c>
      <c r="H6" t="s">
        <v>17</v>
      </c>
    </row>
    <row r="7" spans="1:9" x14ac:dyDescent="0.2">
      <c r="A7" s="4">
        <v>404</v>
      </c>
      <c r="B7" t="s">
        <v>483</v>
      </c>
      <c r="C7" t="s">
        <v>488</v>
      </c>
      <c r="D7" t="s">
        <v>2</v>
      </c>
      <c r="E7" t="s">
        <v>266</v>
      </c>
      <c r="F7" t="s">
        <v>49</v>
      </c>
      <c r="G7" t="s">
        <v>499</v>
      </c>
      <c r="H7" t="s">
        <v>17</v>
      </c>
    </row>
    <row r="8" spans="1:9" x14ac:dyDescent="0.2">
      <c r="A8" s="4">
        <v>483</v>
      </c>
      <c r="B8" t="s">
        <v>483</v>
      </c>
      <c r="C8" t="s">
        <v>489</v>
      </c>
      <c r="D8" t="s">
        <v>2</v>
      </c>
      <c r="E8" t="s">
        <v>266</v>
      </c>
      <c r="F8" t="s">
        <v>49</v>
      </c>
      <c r="G8" t="s">
        <v>499</v>
      </c>
      <c r="H8" t="s">
        <v>17</v>
      </c>
    </row>
    <row r="9" spans="1:9" x14ac:dyDescent="0.2">
      <c r="A9" s="5">
        <v>216</v>
      </c>
      <c r="B9" t="s">
        <v>483</v>
      </c>
      <c r="C9" t="s">
        <v>490</v>
      </c>
      <c r="D9" t="s">
        <v>2</v>
      </c>
      <c r="E9" t="s">
        <v>266</v>
      </c>
      <c r="F9" t="s">
        <v>49</v>
      </c>
      <c r="G9" t="s">
        <v>499</v>
      </c>
      <c r="H9" t="s">
        <v>17</v>
      </c>
    </row>
    <row r="10" spans="1:9" x14ac:dyDescent="0.2">
      <c r="A10" s="5">
        <v>231</v>
      </c>
      <c r="B10" t="s">
        <v>483</v>
      </c>
      <c r="C10" t="s">
        <v>491</v>
      </c>
      <c r="D10" t="s">
        <v>2</v>
      </c>
      <c r="E10" t="s">
        <v>305</v>
      </c>
      <c r="F10" t="s">
        <v>49</v>
      </c>
      <c r="G10" t="s">
        <v>499</v>
      </c>
      <c r="H10" t="s">
        <v>17</v>
      </c>
    </row>
    <row r="11" spans="1:9" x14ac:dyDescent="0.2">
      <c r="A11" s="5">
        <v>23</v>
      </c>
      <c r="B11" t="s">
        <v>483</v>
      </c>
      <c r="C11" t="s">
        <v>492</v>
      </c>
      <c r="D11" t="s">
        <v>2</v>
      </c>
      <c r="E11" t="s">
        <v>302</v>
      </c>
      <c r="F11" t="s">
        <v>49</v>
      </c>
      <c r="G11" t="s">
        <v>499</v>
      </c>
      <c r="H11" t="s">
        <v>17</v>
      </c>
    </row>
    <row r="12" spans="1:9" x14ac:dyDescent="0.2">
      <c r="A12" s="5">
        <v>27</v>
      </c>
      <c r="B12" t="s">
        <v>483</v>
      </c>
      <c r="C12" t="s">
        <v>493</v>
      </c>
      <c r="D12" t="s">
        <v>2</v>
      </c>
      <c r="E12" t="s">
        <v>305</v>
      </c>
      <c r="F12" t="s">
        <v>49</v>
      </c>
      <c r="G12" t="s">
        <v>499</v>
      </c>
      <c r="H12" t="s">
        <v>17</v>
      </c>
    </row>
    <row r="13" spans="1:9" x14ac:dyDescent="0.2">
      <c r="A13" s="5">
        <v>730</v>
      </c>
      <c r="B13" t="s">
        <v>483</v>
      </c>
      <c r="C13" t="s">
        <v>494</v>
      </c>
      <c r="D13" t="s">
        <v>2</v>
      </c>
      <c r="E13" t="s">
        <v>306</v>
      </c>
      <c r="F13" t="s">
        <v>49</v>
      </c>
      <c r="G13" t="s">
        <v>499</v>
      </c>
      <c r="H13" t="s">
        <v>17</v>
      </c>
    </row>
    <row r="14" spans="1:9" x14ac:dyDescent="0.2">
      <c r="A14" s="5">
        <v>59</v>
      </c>
      <c r="B14" t="s">
        <v>483</v>
      </c>
      <c r="C14" t="s">
        <v>495</v>
      </c>
      <c r="D14" t="s">
        <v>2</v>
      </c>
      <c r="E14" t="s">
        <v>306</v>
      </c>
      <c r="F14" t="s">
        <v>49</v>
      </c>
      <c r="G14" t="s">
        <v>499</v>
      </c>
      <c r="H14" t="s">
        <v>17</v>
      </c>
    </row>
    <row r="15" spans="1:9" x14ac:dyDescent="0.2">
      <c r="A15" s="5">
        <v>99</v>
      </c>
      <c r="B15" t="s">
        <v>483</v>
      </c>
      <c r="C15" t="s">
        <v>496</v>
      </c>
      <c r="D15" t="s">
        <v>2</v>
      </c>
      <c r="E15" t="s">
        <v>306</v>
      </c>
      <c r="F15" t="s">
        <v>49</v>
      </c>
      <c r="G15" t="s">
        <v>499</v>
      </c>
      <c r="H15" t="s">
        <v>17</v>
      </c>
    </row>
    <row r="16" spans="1:9" x14ac:dyDescent="0.2">
      <c r="A16" s="5">
        <v>9</v>
      </c>
      <c r="B16" t="s">
        <v>483</v>
      </c>
      <c r="C16" t="s">
        <v>497</v>
      </c>
      <c r="D16" t="s">
        <v>2</v>
      </c>
      <c r="E16" t="s">
        <v>304</v>
      </c>
      <c r="F16" t="s">
        <v>49</v>
      </c>
      <c r="G16" t="s">
        <v>499</v>
      </c>
      <c r="H16" t="s">
        <v>17</v>
      </c>
    </row>
    <row r="17" spans="1:8" x14ac:dyDescent="0.2">
      <c r="A17" s="5">
        <v>48</v>
      </c>
      <c r="B17" t="s">
        <v>483</v>
      </c>
      <c r="C17" t="s">
        <v>498</v>
      </c>
      <c r="D17" t="s">
        <v>2</v>
      </c>
      <c r="E17" t="s">
        <v>305</v>
      </c>
      <c r="F17" t="s">
        <v>49</v>
      </c>
      <c r="G17" t="s">
        <v>499</v>
      </c>
      <c r="H17" t="s">
        <v>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7"/>
  <sheetViews>
    <sheetView workbookViewId="0">
      <selection activeCell="A2" sqref="A2:A17"/>
    </sheetView>
  </sheetViews>
  <sheetFormatPr baseColWidth="10" defaultColWidth="8.83203125" defaultRowHeight="15" x14ac:dyDescent="0.2"/>
  <sheetData>
    <row r="1" spans="1:9" x14ac:dyDescent="0.2">
      <c r="A1" s="2" t="s">
        <v>4</v>
      </c>
      <c r="B1" s="2" t="s">
        <v>5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11</v>
      </c>
      <c r="I1" s="2" t="s">
        <v>12</v>
      </c>
    </row>
    <row r="2" spans="1:9" x14ac:dyDescent="0.2">
      <c r="A2" s="3">
        <v>0</v>
      </c>
      <c r="B2" t="s">
        <v>483</v>
      </c>
      <c r="C2" t="s">
        <v>484</v>
      </c>
      <c r="D2" t="s">
        <v>2</v>
      </c>
      <c r="E2" t="s">
        <v>298</v>
      </c>
      <c r="F2" t="s">
        <v>49</v>
      </c>
      <c r="G2" t="s">
        <v>499</v>
      </c>
      <c r="H2" t="s">
        <v>17</v>
      </c>
    </row>
    <row r="3" spans="1:9" x14ac:dyDescent="0.2">
      <c r="A3" s="3">
        <v>0</v>
      </c>
      <c r="B3" t="s">
        <v>483</v>
      </c>
      <c r="C3" t="s">
        <v>485</v>
      </c>
      <c r="D3" t="s">
        <v>2</v>
      </c>
      <c r="E3" t="s">
        <v>299</v>
      </c>
      <c r="F3" t="s">
        <v>49</v>
      </c>
      <c r="G3" t="s">
        <v>499</v>
      </c>
      <c r="H3" t="s">
        <v>17</v>
      </c>
    </row>
    <row r="4" spans="1:9" x14ac:dyDescent="0.2">
      <c r="A4" s="3">
        <v>0</v>
      </c>
      <c r="B4" t="s">
        <v>483</v>
      </c>
      <c r="C4" t="s">
        <v>273</v>
      </c>
      <c r="D4" t="s">
        <v>2</v>
      </c>
      <c r="E4" t="s">
        <v>300</v>
      </c>
      <c r="F4" t="s">
        <v>49</v>
      </c>
      <c r="G4" t="s">
        <v>499</v>
      </c>
      <c r="H4" t="s">
        <v>17</v>
      </c>
    </row>
    <row r="5" spans="1:9" x14ac:dyDescent="0.2">
      <c r="A5" s="3">
        <v>4</v>
      </c>
      <c r="B5" t="s">
        <v>483</v>
      </c>
      <c r="C5" t="s">
        <v>486</v>
      </c>
      <c r="D5" t="s">
        <v>2</v>
      </c>
      <c r="E5" t="s">
        <v>303</v>
      </c>
      <c r="F5" t="s">
        <v>49</v>
      </c>
      <c r="G5" t="s">
        <v>499</v>
      </c>
      <c r="H5" t="s">
        <v>17</v>
      </c>
    </row>
    <row r="6" spans="1:9" x14ac:dyDescent="0.2">
      <c r="A6" s="3">
        <v>0</v>
      </c>
      <c r="B6" t="s">
        <v>483</v>
      </c>
      <c r="C6" t="s">
        <v>487</v>
      </c>
      <c r="D6" t="s">
        <v>2</v>
      </c>
      <c r="E6" t="s">
        <v>307</v>
      </c>
      <c r="F6" t="s">
        <v>49</v>
      </c>
      <c r="G6" t="s">
        <v>499</v>
      </c>
      <c r="H6" t="s">
        <v>17</v>
      </c>
    </row>
    <row r="7" spans="1:9" x14ac:dyDescent="0.2">
      <c r="A7" s="3">
        <v>553</v>
      </c>
      <c r="B7" t="s">
        <v>483</v>
      </c>
      <c r="C7" t="s">
        <v>488</v>
      </c>
      <c r="D7" t="s">
        <v>2</v>
      </c>
      <c r="E7" t="s">
        <v>266</v>
      </c>
      <c r="F7" t="s">
        <v>49</v>
      </c>
      <c r="G7" t="s">
        <v>499</v>
      </c>
      <c r="H7" t="s">
        <v>17</v>
      </c>
    </row>
    <row r="8" spans="1:9" x14ac:dyDescent="0.2">
      <c r="A8" s="3">
        <v>571</v>
      </c>
      <c r="B8" t="s">
        <v>483</v>
      </c>
      <c r="C8" t="s">
        <v>489</v>
      </c>
      <c r="D8" t="s">
        <v>2</v>
      </c>
      <c r="E8" t="s">
        <v>266</v>
      </c>
      <c r="F8" t="s">
        <v>49</v>
      </c>
      <c r="G8" t="s">
        <v>499</v>
      </c>
      <c r="H8" t="s">
        <v>17</v>
      </c>
    </row>
    <row r="9" spans="1:9" x14ac:dyDescent="0.2">
      <c r="A9" s="3">
        <v>370</v>
      </c>
      <c r="B9" t="s">
        <v>483</v>
      </c>
      <c r="C9" t="s">
        <v>490</v>
      </c>
      <c r="D9" t="s">
        <v>2</v>
      </c>
      <c r="E9" t="s">
        <v>266</v>
      </c>
      <c r="F9" t="s">
        <v>49</v>
      </c>
      <c r="G9" t="s">
        <v>499</v>
      </c>
      <c r="H9" t="s">
        <v>17</v>
      </c>
    </row>
    <row r="10" spans="1:9" x14ac:dyDescent="0.2">
      <c r="A10" s="3">
        <v>256</v>
      </c>
      <c r="B10" t="s">
        <v>483</v>
      </c>
      <c r="C10" t="s">
        <v>491</v>
      </c>
      <c r="D10" t="s">
        <v>2</v>
      </c>
      <c r="E10" t="s">
        <v>305</v>
      </c>
      <c r="F10" t="s">
        <v>49</v>
      </c>
      <c r="G10" t="s">
        <v>499</v>
      </c>
      <c r="H10" t="s">
        <v>17</v>
      </c>
    </row>
    <row r="11" spans="1:9" x14ac:dyDescent="0.2">
      <c r="A11" s="3">
        <v>26</v>
      </c>
      <c r="B11" t="s">
        <v>483</v>
      </c>
      <c r="C11" t="s">
        <v>492</v>
      </c>
      <c r="D11" t="s">
        <v>2</v>
      </c>
      <c r="E11" t="s">
        <v>302</v>
      </c>
      <c r="F11" t="s">
        <v>49</v>
      </c>
      <c r="G11" t="s">
        <v>499</v>
      </c>
      <c r="H11" t="s">
        <v>17</v>
      </c>
    </row>
    <row r="12" spans="1:9" x14ac:dyDescent="0.2">
      <c r="A12" s="3">
        <v>23</v>
      </c>
      <c r="B12" t="s">
        <v>483</v>
      </c>
      <c r="C12" t="s">
        <v>493</v>
      </c>
      <c r="D12" t="s">
        <v>2</v>
      </c>
      <c r="E12" t="s">
        <v>305</v>
      </c>
      <c r="F12" t="s">
        <v>49</v>
      </c>
      <c r="G12" t="s">
        <v>499</v>
      </c>
      <c r="H12" t="s">
        <v>17</v>
      </c>
    </row>
    <row r="13" spans="1:9" x14ac:dyDescent="0.2">
      <c r="A13" s="3">
        <v>592</v>
      </c>
      <c r="B13" t="s">
        <v>483</v>
      </c>
      <c r="C13" t="s">
        <v>494</v>
      </c>
      <c r="D13" t="s">
        <v>2</v>
      </c>
      <c r="E13" t="s">
        <v>306</v>
      </c>
      <c r="F13" t="s">
        <v>49</v>
      </c>
      <c r="G13" t="s">
        <v>499</v>
      </c>
      <c r="H13" t="s">
        <v>17</v>
      </c>
    </row>
    <row r="14" spans="1:9" x14ac:dyDescent="0.2">
      <c r="A14" s="3">
        <v>58</v>
      </c>
      <c r="B14" t="s">
        <v>483</v>
      </c>
      <c r="C14" t="s">
        <v>495</v>
      </c>
      <c r="D14" t="s">
        <v>2</v>
      </c>
      <c r="E14" t="s">
        <v>306</v>
      </c>
      <c r="F14" t="s">
        <v>49</v>
      </c>
      <c r="G14" t="s">
        <v>499</v>
      </c>
      <c r="H14" t="s">
        <v>17</v>
      </c>
    </row>
    <row r="15" spans="1:9" x14ac:dyDescent="0.2">
      <c r="A15" s="3">
        <v>89</v>
      </c>
      <c r="B15" t="s">
        <v>483</v>
      </c>
      <c r="C15" t="s">
        <v>496</v>
      </c>
      <c r="D15" t="s">
        <v>2</v>
      </c>
      <c r="E15" t="s">
        <v>306</v>
      </c>
      <c r="F15" t="s">
        <v>49</v>
      </c>
      <c r="G15" t="s">
        <v>499</v>
      </c>
      <c r="H15" t="s">
        <v>17</v>
      </c>
    </row>
    <row r="16" spans="1:9" x14ac:dyDescent="0.2">
      <c r="A16" s="3">
        <v>9</v>
      </c>
      <c r="B16" t="s">
        <v>483</v>
      </c>
      <c r="C16" t="s">
        <v>497</v>
      </c>
      <c r="D16" t="s">
        <v>2</v>
      </c>
      <c r="E16" t="s">
        <v>304</v>
      </c>
      <c r="F16" t="s">
        <v>49</v>
      </c>
      <c r="G16" t="s">
        <v>499</v>
      </c>
      <c r="H16" t="s">
        <v>17</v>
      </c>
    </row>
    <row r="17" spans="1:8" x14ac:dyDescent="0.2">
      <c r="A17" s="3">
        <v>32</v>
      </c>
      <c r="B17" t="s">
        <v>483</v>
      </c>
      <c r="C17" t="s">
        <v>498</v>
      </c>
      <c r="D17" t="s">
        <v>2</v>
      </c>
      <c r="E17" t="s">
        <v>305</v>
      </c>
      <c r="F17" t="s">
        <v>49</v>
      </c>
      <c r="G17" t="s">
        <v>499</v>
      </c>
      <c r="H17" t="s">
        <v>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7"/>
  <sheetViews>
    <sheetView workbookViewId="0">
      <selection activeCell="A2" sqref="A2:A17"/>
    </sheetView>
  </sheetViews>
  <sheetFormatPr baseColWidth="10" defaultColWidth="8.83203125" defaultRowHeight="15" x14ac:dyDescent="0.2"/>
  <sheetData>
    <row r="1" spans="1:9" x14ac:dyDescent="0.2">
      <c r="A1" s="2" t="s">
        <v>4</v>
      </c>
      <c r="B1" s="2" t="s">
        <v>5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11</v>
      </c>
      <c r="I1" s="2" t="s">
        <v>12</v>
      </c>
    </row>
    <row r="2" spans="1:9" x14ac:dyDescent="0.2">
      <c r="A2" s="3">
        <v>26</v>
      </c>
      <c r="B2" t="s">
        <v>483</v>
      </c>
      <c r="C2" t="s">
        <v>484</v>
      </c>
      <c r="D2" t="s">
        <v>2</v>
      </c>
      <c r="E2" t="s">
        <v>298</v>
      </c>
      <c r="F2" t="s">
        <v>49</v>
      </c>
      <c r="G2" t="s">
        <v>499</v>
      </c>
      <c r="H2" t="s">
        <v>17</v>
      </c>
    </row>
    <row r="3" spans="1:9" x14ac:dyDescent="0.2">
      <c r="A3" s="3">
        <v>32</v>
      </c>
      <c r="B3" t="s">
        <v>483</v>
      </c>
      <c r="C3" t="s">
        <v>485</v>
      </c>
      <c r="D3" t="s">
        <v>2</v>
      </c>
      <c r="E3" t="s">
        <v>299</v>
      </c>
      <c r="F3" t="s">
        <v>49</v>
      </c>
      <c r="G3" t="s">
        <v>499</v>
      </c>
      <c r="H3" t="s">
        <v>17</v>
      </c>
    </row>
    <row r="4" spans="1:9" x14ac:dyDescent="0.2">
      <c r="A4" s="3">
        <v>44</v>
      </c>
      <c r="B4" t="s">
        <v>483</v>
      </c>
      <c r="C4" t="s">
        <v>273</v>
      </c>
      <c r="D4" t="s">
        <v>2</v>
      </c>
      <c r="E4" t="s">
        <v>300</v>
      </c>
      <c r="F4" t="s">
        <v>49</v>
      </c>
      <c r="G4" t="s">
        <v>499</v>
      </c>
      <c r="H4" t="s">
        <v>17</v>
      </c>
    </row>
    <row r="5" spans="1:9" x14ac:dyDescent="0.2">
      <c r="A5" s="3">
        <v>136</v>
      </c>
      <c r="B5" t="s">
        <v>483</v>
      </c>
      <c r="C5" t="s">
        <v>486</v>
      </c>
      <c r="D5" t="s">
        <v>2</v>
      </c>
      <c r="E5" t="s">
        <v>303</v>
      </c>
      <c r="F5" t="s">
        <v>49</v>
      </c>
      <c r="G5" t="s">
        <v>499</v>
      </c>
      <c r="H5" t="s">
        <v>17</v>
      </c>
    </row>
    <row r="6" spans="1:9" x14ac:dyDescent="0.2">
      <c r="A6" s="3">
        <v>26</v>
      </c>
      <c r="B6" t="s">
        <v>483</v>
      </c>
      <c r="C6" t="s">
        <v>487</v>
      </c>
      <c r="D6" t="s">
        <v>2</v>
      </c>
      <c r="E6" t="s">
        <v>307</v>
      </c>
      <c r="F6" t="s">
        <v>49</v>
      </c>
      <c r="G6" t="s">
        <v>499</v>
      </c>
      <c r="H6" t="s">
        <v>17</v>
      </c>
    </row>
    <row r="7" spans="1:9" x14ac:dyDescent="0.2">
      <c r="A7" s="3">
        <v>155</v>
      </c>
      <c r="B7" t="s">
        <v>483</v>
      </c>
      <c r="C7" t="s">
        <v>488</v>
      </c>
      <c r="D7" t="s">
        <v>2</v>
      </c>
      <c r="E7" t="s">
        <v>266</v>
      </c>
      <c r="F7" t="s">
        <v>49</v>
      </c>
      <c r="G7" t="s">
        <v>499</v>
      </c>
      <c r="H7" t="s">
        <v>17</v>
      </c>
    </row>
    <row r="8" spans="1:9" x14ac:dyDescent="0.2">
      <c r="A8" s="3">
        <v>298</v>
      </c>
      <c r="B8" t="s">
        <v>483</v>
      </c>
      <c r="C8" t="s">
        <v>489</v>
      </c>
      <c r="D8" t="s">
        <v>2</v>
      </c>
      <c r="E8" t="s">
        <v>266</v>
      </c>
      <c r="F8" t="s">
        <v>49</v>
      </c>
      <c r="G8" t="s">
        <v>499</v>
      </c>
      <c r="H8" t="s">
        <v>17</v>
      </c>
    </row>
    <row r="9" spans="1:9" x14ac:dyDescent="0.2">
      <c r="A9" s="3">
        <v>72</v>
      </c>
      <c r="B9" t="s">
        <v>483</v>
      </c>
      <c r="C9" t="s">
        <v>490</v>
      </c>
      <c r="D9" t="s">
        <v>2</v>
      </c>
      <c r="E9" t="s">
        <v>266</v>
      </c>
      <c r="F9" t="s">
        <v>49</v>
      </c>
      <c r="G9" t="s">
        <v>499</v>
      </c>
      <c r="H9" t="s">
        <v>17</v>
      </c>
    </row>
    <row r="10" spans="1:9" x14ac:dyDescent="0.2">
      <c r="A10" s="3">
        <v>156</v>
      </c>
      <c r="B10" t="s">
        <v>483</v>
      </c>
      <c r="C10" t="s">
        <v>491</v>
      </c>
      <c r="D10" t="s">
        <v>2</v>
      </c>
      <c r="E10" t="s">
        <v>305</v>
      </c>
      <c r="F10" t="s">
        <v>49</v>
      </c>
      <c r="G10" t="s">
        <v>499</v>
      </c>
      <c r="H10" t="s">
        <v>17</v>
      </c>
    </row>
    <row r="11" spans="1:9" x14ac:dyDescent="0.2">
      <c r="A11" s="3">
        <v>24</v>
      </c>
      <c r="B11" t="s">
        <v>483</v>
      </c>
      <c r="C11" t="s">
        <v>492</v>
      </c>
      <c r="D11" t="s">
        <v>2</v>
      </c>
      <c r="E11" t="s">
        <v>302</v>
      </c>
      <c r="F11" t="s">
        <v>49</v>
      </c>
      <c r="G11" t="s">
        <v>499</v>
      </c>
      <c r="H11" t="s">
        <v>17</v>
      </c>
    </row>
    <row r="12" spans="1:9" x14ac:dyDescent="0.2">
      <c r="A12" s="3">
        <v>16</v>
      </c>
      <c r="B12" t="s">
        <v>483</v>
      </c>
      <c r="C12" t="s">
        <v>493</v>
      </c>
      <c r="D12" t="s">
        <v>2</v>
      </c>
      <c r="E12" t="s">
        <v>305</v>
      </c>
      <c r="F12" t="s">
        <v>49</v>
      </c>
      <c r="G12" t="s">
        <v>499</v>
      </c>
      <c r="H12" t="s">
        <v>17</v>
      </c>
    </row>
    <row r="13" spans="1:9" x14ac:dyDescent="0.2">
      <c r="A13" s="3">
        <v>153</v>
      </c>
      <c r="B13" t="s">
        <v>483</v>
      </c>
      <c r="C13" t="s">
        <v>494</v>
      </c>
      <c r="D13" t="s">
        <v>2</v>
      </c>
      <c r="E13" t="s">
        <v>306</v>
      </c>
      <c r="F13" t="s">
        <v>49</v>
      </c>
      <c r="G13" t="s">
        <v>499</v>
      </c>
      <c r="H13" t="s">
        <v>17</v>
      </c>
    </row>
    <row r="14" spans="1:9" x14ac:dyDescent="0.2">
      <c r="A14" s="3">
        <v>72</v>
      </c>
      <c r="B14" t="s">
        <v>483</v>
      </c>
      <c r="C14" t="s">
        <v>495</v>
      </c>
      <c r="D14" t="s">
        <v>2</v>
      </c>
      <c r="E14" t="s">
        <v>306</v>
      </c>
      <c r="F14" t="s">
        <v>49</v>
      </c>
      <c r="G14" t="s">
        <v>499</v>
      </c>
      <c r="H14" t="s">
        <v>17</v>
      </c>
    </row>
    <row r="15" spans="1:9" x14ac:dyDescent="0.2">
      <c r="A15" s="3">
        <v>132</v>
      </c>
      <c r="B15" t="s">
        <v>483</v>
      </c>
      <c r="C15" t="s">
        <v>496</v>
      </c>
      <c r="D15" t="s">
        <v>2</v>
      </c>
      <c r="E15" t="s">
        <v>306</v>
      </c>
      <c r="F15" t="s">
        <v>49</v>
      </c>
      <c r="G15" t="s">
        <v>499</v>
      </c>
      <c r="H15" t="s">
        <v>17</v>
      </c>
    </row>
    <row r="16" spans="1:9" x14ac:dyDescent="0.2">
      <c r="A16" s="3">
        <v>9</v>
      </c>
      <c r="B16" t="s">
        <v>483</v>
      </c>
      <c r="C16" t="s">
        <v>497</v>
      </c>
      <c r="D16" t="s">
        <v>2</v>
      </c>
      <c r="E16" t="s">
        <v>304</v>
      </c>
      <c r="F16" t="s">
        <v>49</v>
      </c>
      <c r="G16" t="s">
        <v>499</v>
      </c>
      <c r="H16" t="s">
        <v>17</v>
      </c>
    </row>
    <row r="17" spans="1:8" x14ac:dyDescent="0.2">
      <c r="A17" s="3">
        <v>77</v>
      </c>
      <c r="B17" t="s">
        <v>483</v>
      </c>
      <c r="C17" t="s">
        <v>498</v>
      </c>
      <c r="D17" t="s">
        <v>2</v>
      </c>
      <c r="E17" t="s">
        <v>305</v>
      </c>
      <c r="F17" t="s">
        <v>49</v>
      </c>
      <c r="G17" t="s">
        <v>499</v>
      </c>
      <c r="H17" t="s">
        <v>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7"/>
  <sheetViews>
    <sheetView workbookViewId="0">
      <selection activeCell="A2" sqref="A2:A17"/>
    </sheetView>
  </sheetViews>
  <sheetFormatPr baseColWidth="10" defaultColWidth="8.83203125" defaultRowHeight="15" x14ac:dyDescent="0.2"/>
  <sheetData>
    <row r="1" spans="1:9" x14ac:dyDescent="0.2">
      <c r="A1" s="2" t="s">
        <v>4</v>
      </c>
      <c r="B1" s="2" t="s">
        <v>5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11</v>
      </c>
      <c r="I1" s="2" t="s">
        <v>12</v>
      </c>
    </row>
    <row r="2" spans="1:9" x14ac:dyDescent="0.2">
      <c r="A2">
        <v>10</v>
      </c>
      <c r="B2" t="s">
        <v>483</v>
      </c>
      <c r="C2" t="s">
        <v>484</v>
      </c>
      <c r="D2" t="s">
        <v>2</v>
      </c>
      <c r="E2" t="s">
        <v>298</v>
      </c>
      <c r="F2" t="s">
        <v>49</v>
      </c>
      <c r="G2" t="s">
        <v>499</v>
      </c>
      <c r="H2" t="s">
        <v>17</v>
      </c>
    </row>
    <row r="3" spans="1:9" x14ac:dyDescent="0.2">
      <c r="A3">
        <v>14</v>
      </c>
      <c r="B3" t="s">
        <v>483</v>
      </c>
      <c r="C3" t="s">
        <v>485</v>
      </c>
      <c r="D3" t="s">
        <v>2</v>
      </c>
      <c r="E3" t="s">
        <v>299</v>
      </c>
      <c r="F3" t="s">
        <v>49</v>
      </c>
      <c r="G3" t="s">
        <v>499</v>
      </c>
      <c r="H3" t="s">
        <v>17</v>
      </c>
    </row>
    <row r="4" spans="1:9" x14ac:dyDescent="0.2">
      <c r="A4">
        <v>20</v>
      </c>
      <c r="B4" t="s">
        <v>483</v>
      </c>
      <c r="C4" t="s">
        <v>273</v>
      </c>
      <c r="D4" t="s">
        <v>2</v>
      </c>
      <c r="E4" t="s">
        <v>300</v>
      </c>
      <c r="F4" t="s">
        <v>49</v>
      </c>
      <c r="G4" t="s">
        <v>499</v>
      </c>
      <c r="H4" t="s">
        <v>17</v>
      </c>
    </row>
    <row r="5" spans="1:9" x14ac:dyDescent="0.2">
      <c r="A5">
        <v>116</v>
      </c>
      <c r="B5" t="s">
        <v>483</v>
      </c>
      <c r="C5" t="s">
        <v>486</v>
      </c>
      <c r="D5" t="s">
        <v>2</v>
      </c>
      <c r="E5" t="s">
        <v>303</v>
      </c>
      <c r="F5" t="s">
        <v>49</v>
      </c>
      <c r="G5" t="s">
        <v>499</v>
      </c>
      <c r="H5" t="s">
        <v>17</v>
      </c>
    </row>
    <row r="6" spans="1:9" x14ac:dyDescent="0.2">
      <c r="A6">
        <v>23</v>
      </c>
      <c r="B6" t="s">
        <v>483</v>
      </c>
      <c r="C6" t="s">
        <v>487</v>
      </c>
      <c r="D6" t="s">
        <v>2</v>
      </c>
      <c r="E6" t="s">
        <v>307</v>
      </c>
      <c r="F6" t="s">
        <v>49</v>
      </c>
      <c r="G6" t="s">
        <v>499</v>
      </c>
      <c r="H6" t="s">
        <v>17</v>
      </c>
    </row>
    <row r="7" spans="1:9" x14ac:dyDescent="0.2">
      <c r="A7">
        <v>149</v>
      </c>
      <c r="B7" t="s">
        <v>483</v>
      </c>
      <c r="C7" t="s">
        <v>488</v>
      </c>
      <c r="D7" t="s">
        <v>2</v>
      </c>
      <c r="E7" t="s">
        <v>266</v>
      </c>
      <c r="F7" t="s">
        <v>49</v>
      </c>
      <c r="G7" t="s">
        <v>499</v>
      </c>
      <c r="H7" t="s">
        <v>17</v>
      </c>
    </row>
    <row r="8" spans="1:9" x14ac:dyDescent="0.2">
      <c r="A8">
        <v>355</v>
      </c>
      <c r="B8" t="s">
        <v>483</v>
      </c>
      <c r="C8" t="s">
        <v>489</v>
      </c>
      <c r="D8" t="s">
        <v>2</v>
      </c>
      <c r="E8" t="s">
        <v>266</v>
      </c>
      <c r="F8" t="s">
        <v>49</v>
      </c>
      <c r="G8" t="s">
        <v>499</v>
      </c>
      <c r="H8" t="s">
        <v>17</v>
      </c>
    </row>
    <row r="9" spans="1:9" x14ac:dyDescent="0.2">
      <c r="A9">
        <v>142</v>
      </c>
      <c r="B9" t="s">
        <v>483</v>
      </c>
      <c r="C9" t="s">
        <v>490</v>
      </c>
      <c r="D9" t="s">
        <v>2</v>
      </c>
      <c r="E9" t="s">
        <v>266</v>
      </c>
      <c r="F9" t="s">
        <v>49</v>
      </c>
      <c r="G9" t="s">
        <v>499</v>
      </c>
      <c r="H9" t="s">
        <v>17</v>
      </c>
    </row>
    <row r="10" spans="1:9" x14ac:dyDescent="0.2">
      <c r="A10">
        <v>197</v>
      </c>
      <c r="B10" t="s">
        <v>483</v>
      </c>
      <c r="C10" t="s">
        <v>491</v>
      </c>
      <c r="D10" t="s">
        <v>2</v>
      </c>
      <c r="E10" t="s">
        <v>305</v>
      </c>
      <c r="F10" t="s">
        <v>49</v>
      </c>
      <c r="G10" t="s">
        <v>499</v>
      </c>
      <c r="H10" t="s">
        <v>17</v>
      </c>
    </row>
    <row r="11" spans="1:9" x14ac:dyDescent="0.2">
      <c r="A11">
        <v>26</v>
      </c>
      <c r="B11" t="s">
        <v>483</v>
      </c>
      <c r="C11" t="s">
        <v>492</v>
      </c>
      <c r="D11" t="s">
        <v>2</v>
      </c>
      <c r="E11" t="s">
        <v>302</v>
      </c>
      <c r="F11" t="s">
        <v>49</v>
      </c>
      <c r="G11" t="s">
        <v>499</v>
      </c>
      <c r="H11" t="s">
        <v>17</v>
      </c>
    </row>
    <row r="12" spans="1:9" x14ac:dyDescent="0.2">
      <c r="A12">
        <v>20</v>
      </c>
      <c r="B12" t="s">
        <v>483</v>
      </c>
      <c r="C12" t="s">
        <v>493</v>
      </c>
      <c r="D12" t="s">
        <v>2</v>
      </c>
      <c r="E12" t="s">
        <v>305</v>
      </c>
      <c r="F12" t="s">
        <v>49</v>
      </c>
      <c r="G12" t="s">
        <v>499</v>
      </c>
      <c r="H12" t="s">
        <v>17</v>
      </c>
    </row>
    <row r="13" spans="1:9" x14ac:dyDescent="0.2">
      <c r="A13">
        <v>164</v>
      </c>
      <c r="B13" t="s">
        <v>483</v>
      </c>
      <c r="C13" t="s">
        <v>494</v>
      </c>
      <c r="D13" t="s">
        <v>2</v>
      </c>
      <c r="E13" t="s">
        <v>306</v>
      </c>
      <c r="F13" t="s">
        <v>49</v>
      </c>
      <c r="G13" t="s">
        <v>499</v>
      </c>
      <c r="H13" t="s">
        <v>17</v>
      </c>
    </row>
    <row r="14" spans="1:9" x14ac:dyDescent="0.2">
      <c r="A14">
        <v>67</v>
      </c>
      <c r="B14" t="s">
        <v>483</v>
      </c>
      <c r="C14" t="s">
        <v>495</v>
      </c>
      <c r="D14" t="s">
        <v>2</v>
      </c>
      <c r="E14" t="s">
        <v>306</v>
      </c>
      <c r="F14" t="s">
        <v>49</v>
      </c>
      <c r="G14" t="s">
        <v>499</v>
      </c>
      <c r="H14" t="s">
        <v>17</v>
      </c>
    </row>
    <row r="15" spans="1:9" x14ac:dyDescent="0.2">
      <c r="A15">
        <v>93</v>
      </c>
      <c r="B15" t="s">
        <v>483</v>
      </c>
      <c r="C15" t="s">
        <v>496</v>
      </c>
      <c r="D15" t="s">
        <v>2</v>
      </c>
      <c r="E15" t="s">
        <v>306</v>
      </c>
      <c r="F15" t="s">
        <v>49</v>
      </c>
      <c r="G15" t="s">
        <v>499</v>
      </c>
      <c r="H15" t="s">
        <v>17</v>
      </c>
    </row>
    <row r="16" spans="1:9" x14ac:dyDescent="0.2">
      <c r="A16">
        <v>7</v>
      </c>
      <c r="B16" t="s">
        <v>483</v>
      </c>
      <c r="C16" t="s">
        <v>497</v>
      </c>
      <c r="D16" t="s">
        <v>2</v>
      </c>
      <c r="E16" t="s">
        <v>304</v>
      </c>
      <c r="F16" t="s">
        <v>49</v>
      </c>
      <c r="G16" t="s">
        <v>499</v>
      </c>
      <c r="H16" t="s">
        <v>17</v>
      </c>
    </row>
    <row r="17" spans="1:8" x14ac:dyDescent="0.2">
      <c r="A17">
        <v>85</v>
      </c>
      <c r="B17" t="s">
        <v>483</v>
      </c>
      <c r="C17" t="s">
        <v>498</v>
      </c>
      <c r="D17" t="s">
        <v>2</v>
      </c>
      <c r="E17" t="s">
        <v>305</v>
      </c>
      <c r="F17" t="s">
        <v>49</v>
      </c>
      <c r="G17" t="s">
        <v>499</v>
      </c>
      <c r="H17" t="s">
        <v>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7"/>
  <sheetViews>
    <sheetView workbookViewId="0">
      <selection activeCell="A2" sqref="A2:A17"/>
    </sheetView>
  </sheetViews>
  <sheetFormatPr baseColWidth="10" defaultColWidth="8.83203125" defaultRowHeight="15" x14ac:dyDescent="0.2"/>
  <sheetData>
    <row r="1" spans="1:9" x14ac:dyDescent="0.2">
      <c r="A1" s="2" t="s">
        <v>4</v>
      </c>
      <c r="B1" s="2" t="s">
        <v>5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11</v>
      </c>
      <c r="I1" s="2" t="s">
        <v>12</v>
      </c>
    </row>
    <row r="2" spans="1:9" x14ac:dyDescent="0.2">
      <c r="A2" s="3">
        <v>4</v>
      </c>
      <c r="B2" t="s">
        <v>483</v>
      </c>
      <c r="C2" t="s">
        <v>484</v>
      </c>
      <c r="D2" t="s">
        <v>2</v>
      </c>
      <c r="E2" t="s">
        <v>298</v>
      </c>
      <c r="F2" t="s">
        <v>49</v>
      </c>
      <c r="G2" t="s">
        <v>499</v>
      </c>
      <c r="H2" t="s">
        <v>17</v>
      </c>
    </row>
    <row r="3" spans="1:9" x14ac:dyDescent="0.2">
      <c r="A3" s="3">
        <v>5</v>
      </c>
      <c r="B3" t="s">
        <v>483</v>
      </c>
      <c r="C3" t="s">
        <v>485</v>
      </c>
      <c r="D3" t="s">
        <v>2</v>
      </c>
      <c r="E3" t="s">
        <v>299</v>
      </c>
      <c r="F3" t="s">
        <v>49</v>
      </c>
      <c r="G3" t="s">
        <v>499</v>
      </c>
      <c r="H3" t="s">
        <v>17</v>
      </c>
    </row>
    <row r="4" spans="1:9" x14ac:dyDescent="0.2">
      <c r="A4" s="3">
        <v>9</v>
      </c>
      <c r="B4" t="s">
        <v>483</v>
      </c>
      <c r="C4" t="s">
        <v>273</v>
      </c>
      <c r="D4" t="s">
        <v>2</v>
      </c>
      <c r="E4" t="s">
        <v>300</v>
      </c>
      <c r="F4" t="s">
        <v>49</v>
      </c>
      <c r="G4" t="s">
        <v>499</v>
      </c>
      <c r="H4" t="s">
        <v>17</v>
      </c>
    </row>
    <row r="5" spans="1:9" x14ac:dyDescent="0.2">
      <c r="A5" s="3">
        <v>103</v>
      </c>
      <c r="B5" t="s">
        <v>483</v>
      </c>
      <c r="C5" t="s">
        <v>486</v>
      </c>
      <c r="D5" t="s">
        <v>2</v>
      </c>
      <c r="E5" t="s">
        <v>303</v>
      </c>
      <c r="F5" t="s">
        <v>49</v>
      </c>
      <c r="G5" t="s">
        <v>499</v>
      </c>
      <c r="H5" t="s">
        <v>17</v>
      </c>
    </row>
    <row r="6" spans="1:9" x14ac:dyDescent="0.2">
      <c r="A6" s="3">
        <v>21</v>
      </c>
      <c r="B6" t="s">
        <v>483</v>
      </c>
      <c r="C6" t="s">
        <v>487</v>
      </c>
      <c r="D6" t="s">
        <v>2</v>
      </c>
      <c r="E6" t="s">
        <v>307</v>
      </c>
      <c r="F6" t="s">
        <v>49</v>
      </c>
      <c r="G6" t="s">
        <v>499</v>
      </c>
      <c r="H6" t="s">
        <v>17</v>
      </c>
    </row>
    <row r="7" spans="1:9" x14ac:dyDescent="0.2">
      <c r="A7" s="3">
        <v>149</v>
      </c>
      <c r="B7" t="s">
        <v>483</v>
      </c>
      <c r="C7" t="s">
        <v>488</v>
      </c>
      <c r="D7" t="s">
        <v>2</v>
      </c>
      <c r="E7" t="s">
        <v>266</v>
      </c>
      <c r="F7" t="s">
        <v>49</v>
      </c>
      <c r="G7" t="s">
        <v>499</v>
      </c>
      <c r="H7" t="s">
        <v>17</v>
      </c>
    </row>
    <row r="8" spans="1:9" x14ac:dyDescent="0.2">
      <c r="A8" s="3">
        <v>393</v>
      </c>
      <c r="B8" t="s">
        <v>483</v>
      </c>
      <c r="C8" t="s">
        <v>489</v>
      </c>
      <c r="D8" t="s">
        <v>2</v>
      </c>
      <c r="E8" t="s">
        <v>266</v>
      </c>
      <c r="F8" t="s">
        <v>49</v>
      </c>
      <c r="G8" t="s">
        <v>499</v>
      </c>
      <c r="H8" t="s">
        <v>17</v>
      </c>
    </row>
    <row r="9" spans="1:9" x14ac:dyDescent="0.2">
      <c r="A9" s="3">
        <v>348</v>
      </c>
      <c r="B9" t="s">
        <v>483</v>
      </c>
      <c r="C9" t="s">
        <v>490</v>
      </c>
      <c r="D9" t="s">
        <v>2</v>
      </c>
      <c r="E9" t="s">
        <v>266</v>
      </c>
      <c r="F9" t="s">
        <v>49</v>
      </c>
      <c r="G9" t="s">
        <v>499</v>
      </c>
      <c r="H9" t="s">
        <v>17</v>
      </c>
    </row>
    <row r="10" spans="1:9" x14ac:dyDescent="0.2">
      <c r="A10" s="3">
        <v>201</v>
      </c>
      <c r="B10" t="s">
        <v>483</v>
      </c>
      <c r="C10" t="s">
        <v>491</v>
      </c>
      <c r="D10" t="s">
        <v>2</v>
      </c>
      <c r="E10" t="s">
        <v>305</v>
      </c>
      <c r="F10" t="s">
        <v>49</v>
      </c>
      <c r="G10" t="s">
        <v>499</v>
      </c>
      <c r="H10" t="s">
        <v>17</v>
      </c>
    </row>
    <row r="11" spans="1:9" x14ac:dyDescent="0.2">
      <c r="A11" s="3">
        <v>22</v>
      </c>
      <c r="B11" t="s">
        <v>483</v>
      </c>
      <c r="C11" t="s">
        <v>492</v>
      </c>
      <c r="D11" t="s">
        <v>2</v>
      </c>
      <c r="E11" t="s">
        <v>302</v>
      </c>
      <c r="F11" t="s">
        <v>49</v>
      </c>
      <c r="G11" t="s">
        <v>499</v>
      </c>
      <c r="H11" t="s">
        <v>17</v>
      </c>
    </row>
    <row r="12" spans="1:9" x14ac:dyDescent="0.2">
      <c r="A12" s="3">
        <v>26</v>
      </c>
      <c r="B12" t="s">
        <v>483</v>
      </c>
      <c r="C12" t="s">
        <v>493</v>
      </c>
      <c r="D12" t="s">
        <v>2</v>
      </c>
      <c r="E12" t="s">
        <v>305</v>
      </c>
      <c r="F12" t="s">
        <v>49</v>
      </c>
      <c r="G12" t="s">
        <v>499</v>
      </c>
      <c r="H12" t="s">
        <v>17</v>
      </c>
    </row>
    <row r="13" spans="1:9" x14ac:dyDescent="0.2">
      <c r="A13" s="3">
        <v>255</v>
      </c>
      <c r="B13" t="s">
        <v>483</v>
      </c>
      <c r="C13" t="s">
        <v>494</v>
      </c>
      <c r="D13" t="s">
        <v>2</v>
      </c>
      <c r="E13" t="s">
        <v>306</v>
      </c>
      <c r="F13" t="s">
        <v>49</v>
      </c>
      <c r="G13" t="s">
        <v>499</v>
      </c>
      <c r="H13" t="s">
        <v>17</v>
      </c>
    </row>
    <row r="14" spans="1:9" x14ac:dyDescent="0.2">
      <c r="A14" s="3">
        <v>61</v>
      </c>
      <c r="B14" t="s">
        <v>483</v>
      </c>
      <c r="C14" t="s">
        <v>495</v>
      </c>
      <c r="D14" t="s">
        <v>2</v>
      </c>
      <c r="E14" t="s">
        <v>306</v>
      </c>
      <c r="F14" t="s">
        <v>49</v>
      </c>
      <c r="G14" t="s">
        <v>499</v>
      </c>
      <c r="H14" t="s">
        <v>17</v>
      </c>
    </row>
    <row r="15" spans="1:9" x14ac:dyDescent="0.2">
      <c r="A15" s="3">
        <v>82</v>
      </c>
      <c r="B15" t="s">
        <v>483</v>
      </c>
      <c r="C15" t="s">
        <v>496</v>
      </c>
      <c r="D15" t="s">
        <v>2</v>
      </c>
      <c r="E15" t="s">
        <v>306</v>
      </c>
      <c r="F15" t="s">
        <v>49</v>
      </c>
      <c r="G15" t="s">
        <v>499</v>
      </c>
      <c r="H15" t="s">
        <v>17</v>
      </c>
    </row>
    <row r="16" spans="1:9" x14ac:dyDescent="0.2">
      <c r="A16" s="3">
        <v>5</v>
      </c>
      <c r="B16" t="s">
        <v>483</v>
      </c>
      <c r="C16" t="s">
        <v>497</v>
      </c>
      <c r="D16" t="s">
        <v>2</v>
      </c>
      <c r="E16" t="s">
        <v>304</v>
      </c>
      <c r="F16" t="s">
        <v>49</v>
      </c>
      <c r="G16" t="s">
        <v>499</v>
      </c>
      <c r="H16" t="s">
        <v>17</v>
      </c>
    </row>
    <row r="17" spans="1:8" x14ac:dyDescent="0.2">
      <c r="A17" s="3">
        <v>81</v>
      </c>
      <c r="B17" t="s">
        <v>483</v>
      </c>
      <c r="C17" t="s">
        <v>498</v>
      </c>
      <c r="D17" t="s">
        <v>2</v>
      </c>
      <c r="E17" t="s">
        <v>305</v>
      </c>
      <c r="F17" t="s">
        <v>49</v>
      </c>
      <c r="G17" t="s">
        <v>499</v>
      </c>
      <c r="H17" t="s">
        <v>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7"/>
  <sheetViews>
    <sheetView workbookViewId="0">
      <selection activeCell="A2" sqref="A2:A17"/>
    </sheetView>
  </sheetViews>
  <sheetFormatPr baseColWidth="10" defaultColWidth="8.83203125" defaultRowHeight="15" x14ac:dyDescent="0.2"/>
  <sheetData>
    <row r="1" spans="1:9" x14ac:dyDescent="0.2">
      <c r="A1" s="2" t="s">
        <v>4</v>
      </c>
      <c r="B1" s="2" t="s">
        <v>5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11</v>
      </c>
      <c r="I1" s="2" t="s">
        <v>12</v>
      </c>
    </row>
    <row r="2" spans="1:9" x14ac:dyDescent="0.2">
      <c r="A2" s="3">
        <v>0</v>
      </c>
      <c r="B2" t="s">
        <v>483</v>
      </c>
      <c r="C2" t="s">
        <v>484</v>
      </c>
      <c r="D2" t="s">
        <v>2</v>
      </c>
      <c r="E2" t="s">
        <v>298</v>
      </c>
      <c r="F2" t="s">
        <v>49</v>
      </c>
      <c r="G2" t="s">
        <v>499</v>
      </c>
      <c r="H2" t="s">
        <v>17</v>
      </c>
    </row>
    <row r="3" spans="1:9" x14ac:dyDescent="0.2">
      <c r="A3" s="3">
        <v>0</v>
      </c>
      <c r="B3" t="s">
        <v>483</v>
      </c>
      <c r="C3" t="s">
        <v>485</v>
      </c>
      <c r="D3" t="s">
        <v>2</v>
      </c>
      <c r="E3" t="s">
        <v>299</v>
      </c>
      <c r="F3" t="s">
        <v>49</v>
      </c>
      <c r="G3" t="s">
        <v>499</v>
      </c>
      <c r="H3" t="s">
        <v>17</v>
      </c>
    </row>
    <row r="4" spans="1:9" x14ac:dyDescent="0.2">
      <c r="A4" s="3">
        <v>0</v>
      </c>
      <c r="B4" t="s">
        <v>483</v>
      </c>
      <c r="C4" t="s">
        <v>273</v>
      </c>
      <c r="D4" t="s">
        <v>2</v>
      </c>
      <c r="E4" t="s">
        <v>300</v>
      </c>
      <c r="F4" t="s">
        <v>49</v>
      </c>
      <c r="G4" t="s">
        <v>499</v>
      </c>
      <c r="H4" t="s">
        <v>17</v>
      </c>
    </row>
    <row r="5" spans="1:9" x14ac:dyDescent="0.2">
      <c r="A5" s="3">
        <v>66</v>
      </c>
      <c r="B5" t="s">
        <v>483</v>
      </c>
      <c r="C5" t="s">
        <v>486</v>
      </c>
      <c r="D5" t="s">
        <v>2</v>
      </c>
      <c r="E5" t="s">
        <v>303</v>
      </c>
      <c r="F5" t="s">
        <v>49</v>
      </c>
      <c r="G5" t="s">
        <v>499</v>
      </c>
      <c r="H5" t="s">
        <v>17</v>
      </c>
    </row>
    <row r="6" spans="1:9" x14ac:dyDescent="0.2">
      <c r="A6" s="3">
        <v>0</v>
      </c>
      <c r="B6" t="s">
        <v>483</v>
      </c>
      <c r="C6" t="s">
        <v>487</v>
      </c>
      <c r="D6" t="s">
        <v>2</v>
      </c>
      <c r="E6" t="s">
        <v>307</v>
      </c>
      <c r="F6" t="s">
        <v>49</v>
      </c>
      <c r="G6" t="s">
        <v>499</v>
      </c>
      <c r="H6" t="s">
        <v>17</v>
      </c>
    </row>
    <row r="7" spans="1:9" x14ac:dyDescent="0.2">
      <c r="A7" s="3">
        <v>183</v>
      </c>
      <c r="B7" t="s">
        <v>483</v>
      </c>
      <c r="C7" t="s">
        <v>488</v>
      </c>
      <c r="D7" t="s">
        <v>2</v>
      </c>
      <c r="E7" t="s">
        <v>266</v>
      </c>
      <c r="F7" t="s">
        <v>49</v>
      </c>
      <c r="G7" t="s">
        <v>499</v>
      </c>
      <c r="H7" t="s">
        <v>17</v>
      </c>
    </row>
    <row r="8" spans="1:9" x14ac:dyDescent="0.2">
      <c r="A8" s="3">
        <v>525</v>
      </c>
      <c r="B8" t="s">
        <v>483</v>
      </c>
      <c r="C8" t="s">
        <v>489</v>
      </c>
      <c r="D8" t="s">
        <v>2</v>
      </c>
      <c r="E8" t="s">
        <v>266</v>
      </c>
      <c r="F8" t="s">
        <v>49</v>
      </c>
      <c r="G8" t="s">
        <v>499</v>
      </c>
      <c r="H8" t="s">
        <v>17</v>
      </c>
    </row>
    <row r="9" spans="1:9" x14ac:dyDescent="0.2">
      <c r="A9" s="3">
        <v>585</v>
      </c>
      <c r="B9" t="s">
        <v>483</v>
      </c>
      <c r="C9" t="s">
        <v>490</v>
      </c>
      <c r="D9" t="s">
        <v>2</v>
      </c>
      <c r="E9" t="s">
        <v>266</v>
      </c>
      <c r="F9" t="s">
        <v>49</v>
      </c>
      <c r="G9" t="s">
        <v>499</v>
      </c>
      <c r="H9" t="s">
        <v>17</v>
      </c>
    </row>
    <row r="10" spans="1:9" x14ac:dyDescent="0.2">
      <c r="A10" s="3">
        <v>204</v>
      </c>
      <c r="B10" t="s">
        <v>483</v>
      </c>
      <c r="C10" t="s">
        <v>491</v>
      </c>
      <c r="D10" t="s">
        <v>2</v>
      </c>
      <c r="E10" t="s">
        <v>305</v>
      </c>
      <c r="F10" t="s">
        <v>49</v>
      </c>
      <c r="G10" t="s">
        <v>499</v>
      </c>
      <c r="H10" t="s">
        <v>17</v>
      </c>
    </row>
    <row r="11" spans="1:9" x14ac:dyDescent="0.2">
      <c r="A11" s="3">
        <v>35</v>
      </c>
      <c r="B11" t="s">
        <v>483</v>
      </c>
      <c r="C11" t="s">
        <v>492</v>
      </c>
      <c r="D11" t="s">
        <v>2</v>
      </c>
      <c r="E11" t="s">
        <v>302</v>
      </c>
      <c r="F11" t="s">
        <v>49</v>
      </c>
      <c r="G11" t="s">
        <v>499</v>
      </c>
      <c r="H11" t="s">
        <v>17</v>
      </c>
    </row>
    <row r="12" spans="1:9" x14ac:dyDescent="0.2">
      <c r="A12" s="3">
        <v>63</v>
      </c>
      <c r="B12" t="s">
        <v>483</v>
      </c>
      <c r="C12" t="s">
        <v>493</v>
      </c>
      <c r="D12" t="s">
        <v>2</v>
      </c>
      <c r="E12" t="s">
        <v>305</v>
      </c>
      <c r="F12" t="s">
        <v>49</v>
      </c>
      <c r="G12" t="s">
        <v>499</v>
      </c>
      <c r="H12" t="s">
        <v>17</v>
      </c>
    </row>
    <row r="13" spans="1:9" x14ac:dyDescent="0.2">
      <c r="A13" s="3">
        <v>210</v>
      </c>
      <c r="B13" t="s">
        <v>483</v>
      </c>
      <c r="C13" t="s">
        <v>494</v>
      </c>
      <c r="D13" t="s">
        <v>2</v>
      </c>
      <c r="E13" t="s">
        <v>306</v>
      </c>
      <c r="F13" t="s">
        <v>49</v>
      </c>
      <c r="G13" t="s">
        <v>499</v>
      </c>
      <c r="H13" t="s">
        <v>17</v>
      </c>
    </row>
    <row r="14" spans="1:9" x14ac:dyDescent="0.2">
      <c r="A14" s="3">
        <v>51</v>
      </c>
      <c r="B14" t="s">
        <v>483</v>
      </c>
      <c r="C14" t="s">
        <v>495</v>
      </c>
      <c r="D14" t="s">
        <v>2</v>
      </c>
      <c r="E14" t="s">
        <v>306</v>
      </c>
      <c r="F14" t="s">
        <v>49</v>
      </c>
      <c r="G14" t="s">
        <v>499</v>
      </c>
      <c r="H14" t="s">
        <v>17</v>
      </c>
    </row>
    <row r="15" spans="1:9" x14ac:dyDescent="0.2">
      <c r="A15" s="3">
        <v>66</v>
      </c>
      <c r="B15" t="s">
        <v>483</v>
      </c>
      <c r="C15" t="s">
        <v>496</v>
      </c>
      <c r="D15" t="s">
        <v>2</v>
      </c>
      <c r="E15" t="s">
        <v>306</v>
      </c>
      <c r="F15" t="s">
        <v>49</v>
      </c>
      <c r="G15" t="s">
        <v>499</v>
      </c>
      <c r="H15" t="s">
        <v>17</v>
      </c>
    </row>
    <row r="16" spans="1:9" x14ac:dyDescent="0.2">
      <c r="A16" s="3">
        <v>10</v>
      </c>
      <c r="B16" t="s">
        <v>483</v>
      </c>
      <c r="C16" t="s">
        <v>497</v>
      </c>
      <c r="D16" t="s">
        <v>2</v>
      </c>
      <c r="E16" t="s">
        <v>304</v>
      </c>
      <c r="F16" t="s">
        <v>49</v>
      </c>
      <c r="G16" t="s">
        <v>499</v>
      </c>
      <c r="H16" t="s">
        <v>17</v>
      </c>
    </row>
    <row r="17" spans="1:8" x14ac:dyDescent="0.2">
      <c r="A17" s="3">
        <v>92</v>
      </c>
      <c r="B17" t="s">
        <v>483</v>
      </c>
      <c r="C17" t="s">
        <v>498</v>
      </c>
      <c r="D17" t="s">
        <v>2</v>
      </c>
      <c r="E17" t="s">
        <v>305</v>
      </c>
      <c r="F17" t="s">
        <v>49</v>
      </c>
      <c r="G17" t="s">
        <v>499</v>
      </c>
      <c r="H17" t="s">
        <v>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7"/>
  <sheetViews>
    <sheetView workbookViewId="0">
      <selection activeCell="A2" sqref="A2:A17"/>
    </sheetView>
  </sheetViews>
  <sheetFormatPr baseColWidth="10" defaultColWidth="8.83203125" defaultRowHeight="15" x14ac:dyDescent="0.2"/>
  <sheetData>
    <row r="1" spans="1:9" x14ac:dyDescent="0.2">
      <c r="A1" s="2" t="s">
        <v>4</v>
      </c>
      <c r="B1" s="2" t="s">
        <v>5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11</v>
      </c>
      <c r="I1" s="2" t="s">
        <v>12</v>
      </c>
    </row>
    <row r="2" spans="1:9" x14ac:dyDescent="0.2">
      <c r="A2" s="4">
        <v>0</v>
      </c>
      <c r="B2" t="s">
        <v>483</v>
      </c>
      <c r="C2" t="s">
        <v>484</v>
      </c>
      <c r="D2" t="s">
        <v>2</v>
      </c>
      <c r="E2" t="s">
        <v>298</v>
      </c>
      <c r="F2" t="s">
        <v>49</v>
      </c>
      <c r="G2" t="s">
        <v>499</v>
      </c>
      <c r="H2" t="s">
        <v>17</v>
      </c>
    </row>
    <row r="3" spans="1:9" x14ac:dyDescent="0.2">
      <c r="A3" s="3">
        <v>0</v>
      </c>
      <c r="B3" t="s">
        <v>483</v>
      </c>
      <c r="C3" t="s">
        <v>485</v>
      </c>
      <c r="D3" t="s">
        <v>2</v>
      </c>
      <c r="E3" t="s">
        <v>299</v>
      </c>
      <c r="F3" t="s">
        <v>49</v>
      </c>
      <c r="G3" t="s">
        <v>499</v>
      </c>
      <c r="H3" t="s">
        <v>17</v>
      </c>
    </row>
    <row r="4" spans="1:9" x14ac:dyDescent="0.2">
      <c r="A4" s="3">
        <v>0</v>
      </c>
      <c r="B4" t="s">
        <v>483</v>
      </c>
      <c r="C4" t="s">
        <v>273</v>
      </c>
      <c r="D4" t="s">
        <v>2</v>
      </c>
      <c r="E4" t="s">
        <v>300</v>
      </c>
      <c r="F4" t="s">
        <v>49</v>
      </c>
      <c r="G4" t="s">
        <v>499</v>
      </c>
      <c r="H4" t="s">
        <v>17</v>
      </c>
    </row>
    <row r="5" spans="1:9" x14ac:dyDescent="0.2">
      <c r="A5" s="3">
        <v>78</v>
      </c>
      <c r="B5" t="s">
        <v>483</v>
      </c>
      <c r="C5" t="s">
        <v>486</v>
      </c>
      <c r="D5" t="s">
        <v>2</v>
      </c>
      <c r="E5" t="s">
        <v>303</v>
      </c>
      <c r="F5" t="s">
        <v>49</v>
      </c>
      <c r="G5" t="s">
        <v>499</v>
      </c>
      <c r="H5" t="s">
        <v>17</v>
      </c>
    </row>
    <row r="6" spans="1:9" x14ac:dyDescent="0.2">
      <c r="A6" s="3">
        <v>26</v>
      </c>
      <c r="B6" t="s">
        <v>483</v>
      </c>
      <c r="C6" t="s">
        <v>487</v>
      </c>
      <c r="D6" t="s">
        <v>2</v>
      </c>
      <c r="E6" t="s">
        <v>307</v>
      </c>
      <c r="F6" t="s">
        <v>49</v>
      </c>
      <c r="G6" t="s">
        <v>499</v>
      </c>
      <c r="H6" t="s">
        <v>17</v>
      </c>
    </row>
    <row r="7" spans="1:9" x14ac:dyDescent="0.2">
      <c r="A7" s="3">
        <v>181</v>
      </c>
      <c r="B7" t="s">
        <v>483</v>
      </c>
      <c r="C7" t="s">
        <v>488</v>
      </c>
      <c r="D7" t="s">
        <v>2</v>
      </c>
      <c r="E7" t="s">
        <v>266</v>
      </c>
      <c r="F7" t="s">
        <v>49</v>
      </c>
      <c r="G7" t="s">
        <v>499</v>
      </c>
      <c r="H7" t="s">
        <v>17</v>
      </c>
    </row>
    <row r="8" spans="1:9" x14ac:dyDescent="0.2">
      <c r="A8" s="3">
        <v>470</v>
      </c>
      <c r="B8" t="s">
        <v>483</v>
      </c>
      <c r="C8" t="s">
        <v>489</v>
      </c>
      <c r="D8" t="s">
        <v>2</v>
      </c>
      <c r="E8" t="s">
        <v>266</v>
      </c>
      <c r="F8" t="s">
        <v>49</v>
      </c>
      <c r="G8" t="s">
        <v>499</v>
      </c>
      <c r="H8" t="s">
        <v>17</v>
      </c>
    </row>
    <row r="9" spans="1:9" x14ac:dyDescent="0.2">
      <c r="A9" s="3">
        <v>536</v>
      </c>
      <c r="B9" t="s">
        <v>483</v>
      </c>
      <c r="C9" t="s">
        <v>490</v>
      </c>
      <c r="D9" t="s">
        <v>2</v>
      </c>
      <c r="E9" t="s">
        <v>266</v>
      </c>
      <c r="F9" t="s">
        <v>49</v>
      </c>
      <c r="G9" t="s">
        <v>499</v>
      </c>
      <c r="H9" t="s">
        <v>17</v>
      </c>
    </row>
    <row r="10" spans="1:9" x14ac:dyDescent="0.2">
      <c r="A10" s="3">
        <v>138</v>
      </c>
      <c r="B10" t="s">
        <v>483</v>
      </c>
      <c r="C10" t="s">
        <v>491</v>
      </c>
      <c r="D10" t="s">
        <v>2</v>
      </c>
      <c r="E10" t="s">
        <v>305</v>
      </c>
      <c r="F10" t="s">
        <v>49</v>
      </c>
      <c r="G10" t="s">
        <v>499</v>
      </c>
      <c r="H10" t="s">
        <v>17</v>
      </c>
    </row>
    <row r="11" spans="1:9" x14ac:dyDescent="0.2">
      <c r="A11" s="3">
        <v>27</v>
      </c>
      <c r="B11" t="s">
        <v>483</v>
      </c>
      <c r="C11" t="s">
        <v>492</v>
      </c>
      <c r="D11" t="s">
        <v>2</v>
      </c>
      <c r="E11" t="s">
        <v>302</v>
      </c>
      <c r="F11" t="s">
        <v>49</v>
      </c>
      <c r="G11" t="s">
        <v>499</v>
      </c>
      <c r="H11" t="s">
        <v>17</v>
      </c>
    </row>
    <row r="12" spans="1:9" x14ac:dyDescent="0.2">
      <c r="A12" s="3">
        <v>28</v>
      </c>
      <c r="B12" t="s">
        <v>483</v>
      </c>
      <c r="C12" t="s">
        <v>493</v>
      </c>
      <c r="D12" t="s">
        <v>2</v>
      </c>
      <c r="E12" t="s">
        <v>305</v>
      </c>
      <c r="F12" t="s">
        <v>49</v>
      </c>
      <c r="G12" t="s">
        <v>499</v>
      </c>
      <c r="H12" t="s">
        <v>17</v>
      </c>
    </row>
    <row r="13" spans="1:9" x14ac:dyDescent="0.2">
      <c r="A13" s="3">
        <v>331</v>
      </c>
      <c r="B13" t="s">
        <v>483</v>
      </c>
      <c r="C13" t="s">
        <v>494</v>
      </c>
      <c r="D13" t="s">
        <v>2</v>
      </c>
      <c r="E13" t="s">
        <v>306</v>
      </c>
      <c r="F13" t="s">
        <v>49</v>
      </c>
      <c r="G13" t="s">
        <v>499</v>
      </c>
      <c r="H13" t="s">
        <v>17</v>
      </c>
    </row>
    <row r="14" spans="1:9" x14ac:dyDescent="0.2">
      <c r="A14" s="3">
        <v>57</v>
      </c>
      <c r="B14" t="s">
        <v>483</v>
      </c>
      <c r="C14" t="s">
        <v>495</v>
      </c>
      <c r="D14" t="s">
        <v>2</v>
      </c>
      <c r="E14" t="s">
        <v>306</v>
      </c>
      <c r="F14" t="s">
        <v>49</v>
      </c>
      <c r="G14" t="s">
        <v>499</v>
      </c>
      <c r="H14" t="s">
        <v>17</v>
      </c>
    </row>
    <row r="15" spans="1:9" x14ac:dyDescent="0.2">
      <c r="A15" s="3">
        <v>92</v>
      </c>
      <c r="B15" t="s">
        <v>483</v>
      </c>
      <c r="C15" t="s">
        <v>496</v>
      </c>
      <c r="D15" t="s">
        <v>2</v>
      </c>
      <c r="E15" t="s">
        <v>306</v>
      </c>
      <c r="F15" t="s">
        <v>49</v>
      </c>
      <c r="G15" t="s">
        <v>499</v>
      </c>
      <c r="H15" t="s">
        <v>17</v>
      </c>
    </row>
    <row r="16" spans="1:9" x14ac:dyDescent="0.2">
      <c r="A16" s="3">
        <v>10</v>
      </c>
      <c r="B16" t="s">
        <v>483</v>
      </c>
      <c r="C16" t="s">
        <v>497</v>
      </c>
      <c r="D16" t="s">
        <v>2</v>
      </c>
      <c r="E16" t="s">
        <v>304</v>
      </c>
      <c r="F16" t="s">
        <v>49</v>
      </c>
      <c r="G16" t="s">
        <v>499</v>
      </c>
      <c r="H16" t="s">
        <v>17</v>
      </c>
    </row>
    <row r="17" spans="1:8" x14ac:dyDescent="0.2">
      <c r="A17" s="3">
        <v>78</v>
      </c>
      <c r="B17" t="s">
        <v>483</v>
      </c>
      <c r="C17" t="s">
        <v>498</v>
      </c>
      <c r="D17" t="s">
        <v>2</v>
      </c>
      <c r="E17" t="s">
        <v>305</v>
      </c>
      <c r="F17" t="s">
        <v>49</v>
      </c>
      <c r="G17" t="s">
        <v>499</v>
      </c>
      <c r="H17" t="s">
        <v>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7"/>
  <sheetViews>
    <sheetView workbookViewId="0">
      <selection activeCell="A2" sqref="A2:A17"/>
    </sheetView>
  </sheetViews>
  <sheetFormatPr baseColWidth="10" defaultColWidth="8.83203125" defaultRowHeight="15" x14ac:dyDescent="0.2"/>
  <sheetData>
    <row r="1" spans="1:9" x14ac:dyDescent="0.2">
      <c r="A1" s="2" t="s">
        <v>4</v>
      </c>
      <c r="B1" s="2" t="s">
        <v>5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11</v>
      </c>
      <c r="I1" s="2" t="s">
        <v>12</v>
      </c>
    </row>
    <row r="2" spans="1:9" x14ac:dyDescent="0.2">
      <c r="A2" s="3">
        <v>0</v>
      </c>
      <c r="B2" t="s">
        <v>483</v>
      </c>
      <c r="C2" t="s">
        <v>484</v>
      </c>
      <c r="D2" t="s">
        <v>2</v>
      </c>
      <c r="E2" t="s">
        <v>298</v>
      </c>
      <c r="F2" t="s">
        <v>49</v>
      </c>
      <c r="G2" t="s">
        <v>499</v>
      </c>
      <c r="H2" t="s">
        <v>17</v>
      </c>
    </row>
    <row r="3" spans="1:9" x14ac:dyDescent="0.2">
      <c r="A3" s="3">
        <v>0</v>
      </c>
      <c r="B3" t="s">
        <v>483</v>
      </c>
      <c r="C3" t="s">
        <v>485</v>
      </c>
      <c r="D3" t="s">
        <v>2</v>
      </c>
      <c r="E3" t="s">
        <v>299</v>
      </c>
      <c r="F3" t="s">
        <v>49</v>
      </c>
      <c r="G3" t="s">
        <v>499</v>
      </c>
      <c r="H3" t="s">
        <v>17</v>
      </c>
    </row>
    <row r="4" spans="1:9" x14ac:dyDescent="0.2">
      <c r="A4" s="3">
        <v>0</v>
      </c>
      <c r="B4" t="s">
        <v>483</v>
      </c>
      <c r="C4" t="s">
        <v>273</v>
      </c>
      <c r="D4" t="s">
        <v>2</v>
      </c>
      <c r="E4" t="s">
        <v>300</v>
      </c>
      <c r="F4" t="s">
        <v>49</v>
      </c>
      <c r="G4" t="s">
        <v>499</v>
      </c>
      <c r="H4" t="s">
        <v>17</v>
      </c>
    </row>
    <row r="5" spans="1:9" x14ac:dyDescent="0.2">
      <c r="A5" s="3">
        <v>4</v>
      </c>
      <c r="B5" t="s">
        <v>483</v>
      </c>
      <c r="C5" t="s">
        <v>486</v>
      </c>
      <c r="D5" t="s">
        <v>2</v>
      </c>
      <c r="E5" t="s">
        <v>303</v>
      </c>
      <c r="F5" t="s">
        <v>49</v>
      </c>
      <c r="G5" t="s">
        <v>499</v>
      </c>
      <c r="H5" t="s">
        <v>17</v>
      </c>
    </row>
    <row r="6" spans="1:9" x14ac:dyDescent="0.2">
      <c r="A6" s="3">
        <v>0</v>
      </c>
      <c r="B6" t="s">
        <v>483</v>
      </c>
      <c r="C6" t="s">
        <v>487</v>
      </c>
      <c r="D6" t="s">
        <v>2</v>
      </c>
      <c r="E6" t="s">
        <v>307</v>
      </c>
      <c r="F6" t="s">
        <v>49</v>
      </c>
      <c r="G6" t="s">
        <v>499</v>
      </c>
      <c r="H6" t="s">
        <v>17</v>
      </c>
    </row>
    <row r="7" spans="1:9" x14ac:dyDescent="0.2">
      <c r="A7" s="3">
        <v>299</v>
      </c>
      <c r="B7" t="s">
        <v>483</v>
      </c>
      <c r="C7" t="s">
        <v>488</v>
      </c>
      <c r="D7" t="s">
        <v>2</v>
      </c>
      <c r="E7" t="s">
        <v>266</v>
      </c>
      <c r="F7" t="s">
        <v>49</v>
      </c>
      <c r="G7" t="s">
        <v>499</v>
      </c>
      <c r="H7" t="s">
        <v>17</v>
      </c>
    </row>
    <row r="8" spans="1:9" x14ac:dyDescent="0.2">
      <c r="A8" s="3">
        <v>283</v>
      </c>
      <c r="B8" t="s">
        <v>483</v>
      </c>
      <c r="C8" t="s">
        <v>489</v>
      </c>
      <c r="D8" t="s">
        <v>2</v>
      </c>
      <c r="E8" t="s">
        <v>266</v>
      </c>
      <c r="F8" t="s">
        <v>49</v>
      </c>
      <c r="G8" t="s">
        <v>499</v>
      </c>
      <c r="H8" t="s">
        <v>17</v>
      </c>
    </row>
    <row r="9" spans="1:9" x14ac:dyDescent="0.2">
      <c r="A9" s="3">
        <v>433</v>
      </c>
      <c r="B9" t="s">
        <v>483</v>
      </c>
      <c r="C9" t="s">
        <v>490</v>
      </c>
      <c r="D9" t="s">
        <v>2</v>
      </c>
      <c r="E9" t="s">
        <v>266</v>
      </c>
      <c r="F9" t="s">
        <v>49</v>
      </c>
      <c r="G9" t="s">
        <v>499</v>
      </c>
      <c r="H9" t="s">
        <v>17</v>
      </c>
    </row>
    <row r="10" spans="1:9" x14ac:dyDescent="0.2">
      <c r="A10" s="3">
        <v>215</v>
      </c>
      <c r="B10" t="s">
        <v>483</v>
      </c>
      <c r="C10" t="s">
        <v>491</v>
      </c>
      <c r="D10" t="s">
        <v>2</v>
      </c>
      <c r="E10" t="s">
        <v>305</v>
      </c>
      <c r="F10" t="s">
        <v>49</v>
      </c>
      <c r="G10" t="s">
        <v>499</v>
      </c>
      <c r="H10" t="s">
        <v>17</v>
      </c>
    </row>
    <row r="11" spans="1:9" x14ac:dyDescent="0.2">
      <c r="A11" s="3">
        <v>17</v>
      </c>
      <c r="B11" t="s">
        <v>483</v>
      </c>
      <c r="C11" t="s">
        <v>492</v>
      </c>
      <c r="D11" t="s">
        <v>2</v>
      </c>
      <c r="E11" t="s">
        <v>302</v>
      </c>
      <c r="F11" t="s">
        <v>49</v>
      </c>
      <c r="G11" t="s">
        <v>499</v>
      </c>
      <c r="H11" t="s">
        <v>17</v>
      </c>
    </row>
    <row r="12" spans="1:9" x14ac:dyDescent="0.2">
      <c r="A12" s="3">
        <v>56</v>
      </c>
      <c r="B12" t="s">
        <v>483</v>
      </c>
      <c r="C12" t="s">
        <v>493</v>
      </c>
      <c r="D12" t="s">
        <v>2</v>
      </c>
      <c r="E12" t="s">
        <v>305</v>
      </c>
      <c r="F12" t="s">
        <v>49</v>
      </c>
      <c r="G12" t="s">
        <v>499</v>
      </c>
      <c r="H12" t="s">
        <v>17</v>
      </c>
    </row>
    <row r="13" spans="1:9" x14ac:dyDescent="0.2">
      <c r="A13" s="3">
        <v>279</v>
      </c>
      <c r="B13" t="s">
        <v>483</v>
      </c>
      <c r="C13" t="s">
        <v>494</v>
      </c>
      <c r="D13" t="s">
        <v>2</v>
      </c>
      <c r="E13" t="s">
        <v>306</v>
      </c>
      <c r="F13" t="s">
        <v>49</v>
      </c>
      <c r="G13" t="s">
        <v>499</v>
      </c>
      <c r="H13" t="s">
        <v>17</v>
      </c>
    </row>
    <row r="14" spans="1:9" x14ac:dyDescent="0.2">
      <c r="A14" s="3">
        <v>26</v>
      </c>
      <c r="B14" t="s">
        <v>483</v>
      </c>
      <c r="C14" t="s">
        <v>495</v>
      </c>
      <c r="D14" t="s">
        <v>2</v>
      </c>
      <c r="E14" t="s">
        <v>306</v>
      </c>
      <c r="F14" t="s">
        <v>49</v>
      </c>
      <c r="G14" t="s">
        <v>499</v>
      </c>
      <c r="H14" t="s">
        <v>17</v>
      </c>
    </row>
    <row r="15" spans="1:9" x14ac:dyDescent="0.2">
      <c r="A15" s="3">
        <v>68</v>
      </c>
      <c r="B15" t="s">
        <v>483</v>
      </c>
      <c r="C15" t="s">
        <v>496</v>
      </c>
      <c r="D15" t="s">
        <v>2</v>
      </c>
      <c r="E15" t="s">
        <v>306</v>
      </c>
      <c r="F15" t="s">
        <v>49</v>
      </c>
      <c r="G15" t="s">
        <v>499</v>
      </c>
      <c r="H15" t="s">
        <v>17</v>
      </c>
    </row>
    <row r="16" spans="1:9" x14ac:dyDescent="0.2">
      <c r="A16" s="3">
        <v>9</v>
      </c>
      <c r="B16" t="s">
        <v>483</v>
      </c>
      <c r="C16" t="s">
        <v>497</v>
      </c>
      <c r="D16" t="s">
        <v>2</v>
      </c>
      <c r="E16" t="s">
        <v>304</v>
      </c>
      <c r="F16" t="s">
        <v>49</v>
      </c>
      <c r="G16" t="s">
        <v>499</v>
      </c>
      <c r="H16" t="s">
        <v>17</v>
      </c>
    </row>
    <row r="17" spans="1:8" x14ac:dyDescent="0.2">
      <c r="A17" s="3">
        <v>24</v>
      </c>
      <c r="B17" t="s">
        <v>483</v>
      </c>
      <c r="C17" t="s">
        <v>498</v>
      </c>
      <c r="D17" t="s">
        <v>2</v>
      </c>
      <c r="E17" t="s">
        <v>305</v>
      </c>
      <c r="F17" t="s">
        <v>49</v>
      </c>
      <c r="G17" t="s">
        <v>499</v>
      </c>
      <c r="H17" t="s">
        <v>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"/>
  <sheetViews>
    <sheetView workbookViewId="0">
      <selection activeCell="M41" sqref="M41"/>
    </sheetView>
  </sheetViews>
  <sheetFormatPr baseColWidth="10" defaultColWidth="8.83203125" defaultRowHeight="15" x14ac:dyDescent="0.2"/>
  <sheetData>
    <row r="1" spans="1:9" x14ac:dyDescent="0.2">
      <c r="A1" s="2" t="s">
        <v>4</v>
      </c>
      <c r="B1" s="2" t="s">
        <v>5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11</v>
      </c>
      <c r="I1" s="2" t="s">
        <v>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"/>
  <sheetViews>
    <sheetView workbookViewId="0"/>
  </sheetViews>
  <sheetFormatPr baseColWidth="10" defaultColWidth="8.83203125" defaultRowHeight="15" x14ac:dyDescent="0.2"/>
  <sheetData>
    <row r="1" spans="1:9" x14ac:dyDescent="0.2">
      <c r="A1" s="2" t="s">
        <v>4</v>
      </c>
      <c r="B1" s="2" t="s">
        <v>5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11</v>
      </c>
      <c r="I1" s="2" t="s">
        <v>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"/>
  <sheetViews>
    <sheetView workbookViewId="0"/>
  </sheetViews>
  <sheetFormatPr baseColWidth="10" defaultColWidth="8.83203125" defaultRowHeight="15" x14ac:dyDescent="0.2"/>
  <sheetData>
    <row r="1" spans="1:9" x14ac:dyDescent="0.2">
      <c r="A1" s="2" t="s">
        <v>4</v>
      </c>
      <c r="B1" s="2" t="s">
        <v>5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11</v>
      </c>
      <c r="I1" s="2" t="s">
        <v>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"/>
  <sheetViews>
    <sheetView workbookViewId="0"/>
  </sheetViews>
  <sheetFormatPr baseColWidth="10" defaultColWidth="8.83203125" defaultRowHeight="15" x14ac:dyDescent="0.2"/>
  <sheetData>
    <row r="1" spans="1:9" x14ac:dyDescent="0.2">
      <c r="A1" s="2" t="s">
        <v>4</v>
      </c>
      <c r="B1" s="2" t="s">
        <v>5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11</v>
      </c>
      <c r="I1" s="2" t="s">
        <v>12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"/>
  <sheetViews>
    <sheetView workbookViewId="0"/>
  </sheetViews>
  <sheetFormatPr baseColWidth="10" defaultColWidth="8.83203125" defaultRowHeight="15" x14ac:dyDescent="0.2"/>
  <sheetData>
    <row r="1" spans="1:9" x14ac:dyDescent="0.2">
      <c r="A1" s="2" t="s">
        <v>4</v>
      </c>
      <c r="B1" s="2" t="s">
        <v>5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11</v>
      </c>
      <c r="I1" s="2" t="s">
        <v>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"/>
  <sheetViews>
    <sheetView workbookViewId="0"/>
  </sheetViews>
  <sheetFormatPr baseColWidth="10" defaultColWidth="8.83203125" defaultRowHeight="15" x14ac:dyDescent="0.2"/>
  <sheetData>
    <row r="1" spans="1:9" x14ac:dyDescent="0.2">
      <c r="A1" s="2" t="s">
        <v>4</v>
      </c>
      <c r="B1" s="2" t="s">
        <v>5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11</v>
      </c>
      <c r="I1" s="2" t="s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"/>
  <sheetViews>
    <sheetView workbookViewId="0"/>
  </sheetViews>
  <sheetFormatPr baseColWidth="10" defaultColWidth="8.83203125" defaultRowHeight="15" x14ac:dyDescent="0.2"/>
  <sheetData>
    <row r="1" spans="1:9" x14ac:dyDescent="0.2">
      <c r="A1" s="2" t="s">
        <v>4</v>
      </c>
      <c r="B1" s="2" t="s">
        <v>5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11</v>
      </c>
      <c r="I1" s="2" t="s">
        <v>12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1"/>
  <sheetViews>
    <sheetView workbookViewId="0"/>
  </sheetViews>
  <sheetFormatPr baseColWidth="10" defaultColWidth="8.83203125" defaultRowHeight="15" x14ac:dyDescent="0.2"/>
  <sheetData>
    <row r="1" spans="1:9" x14ac:dyDescent="0.2">
      <c r="A1" s="2" t="s">
        <v>4</v>
      </c>
      <c r="B1" s="2" t="s">
        <v>5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11</v>
      </c>
      <c r="I1" s="2" t="s">
        <v>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1"/>
  <sheetViews>
    <sheetView workbookViewId="0"/>
  </sheetViews>
  <sheetFormatPr baseColWidth="10" defaultColWidth="8.83203125" defaultRowHeight="15" x14ac:dyDescent="0.2"/>
  <sheetData>
    <row r="1" spans="1:9" x14ac:dyDescent="0.2">
      <c r="A1" s="2" t="s">
        <v>4</v>
      </c>
      <c r="B1" s="2" t="s">
        <v>5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11</v>
      </c>
      <c r="I1" s="2" t="s">
        <v>12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1"/>
  <sheetViews>
    <sheetView workbookViewId="0"/>
  </sheetViews>
  <sheetFormatPr baseColWidth="10" defaultColWidth="8.83203125" defaultRowHeight="15" x14ac:dyDescent="0.2"/>
  <sheetData>
    <row r="1" spans="1:9" x14ac:dyDescent="0.2">
      <c r="A1" s="2" t="s">
        <v>4</v>
      </c>
      <c r="B1" s="2" t="s">
        <v>5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11</v>
      </c>
      <c r="I1" s="2" t="s">
        <v>12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1"/>
  <sheetViews>
    <sheetView workbookViewId="0"/>
  </sheetViews>
  <sheetFormatPr baseColWidth="10" defaultColWidth="8.83203125" defaultRowHeight="15" x14ac:dyDescent="0.2"/>
  <sheetData>
    <row r="1" spans="1:9" x14ac:dyDescent="0.2">
      <c r="A1" s="2" t="s">
        <v>4</v>
      </c>
      <c r="B1" s="2" t="s">
        <v>5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11</v>
      </c>
      <c r="I1" s="2" t="s">
        <v>12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1"/>
  <sheetViews>
    <sheetView workbookViewId="0"/>
  </sheetViews>
  <sheetFormatPr baseColWidth="10" defaultColWidth="8.83203125" defaultRowHeight="15" x14ac:dyDescent="0.2"/>
  <sheetData>
    <row r="1" spans="1:9" x14ac:dyDescent="0.2">
      <c r="A1" s="2" t="s">
        <v>4</v>
      </c>
      <c r="B1" s="2" t="s">
        <v>5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11</v>
      </c>
      <c r="I1" s="2" t="s">
        <v>12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1"/>
  <sheetViews>
    <sheetView workbookViewId="0"/>
  </sheetViews>
  <sheetFormatPr baseColWidth="10" defaultColWidth="8.83203125" defaultRowHeight="15" x14ac:dyDescent="0.2"/>
  <sheetData>
    <row r="1" spans="1:9" x14ac:dyDescent="0.2">
      <c r="A1" s="2" t="s">
        <v>4</v>
      </c>
      <c r="B1" s="2" t="s">
        <v>5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11</v>
      </c>
      <c r="I1" s="2" t="s">
        <v>12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1"/>
  <sheetViews>
    <sheetView workbookViewId="0"/>
  </sheetViews>
  <sheetFormatPr baseColWidth="10" defaultColWidth="8.83203125" defaultRowHeight="15" x14ac:dyDescent="0.2"/>
  <sheetData>
    <row r="1" spans="1:9" x14ac:dyDescent="0.2">
      <c r="A1" s="2" t="s">
        <v>4</v>
      </c>
      <c r="B1" s="2" t="s">
        <v>5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11</v>
      </c>
      <c r="I1" s="2" t="s">
        <v>12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385"/>
  <sheetViews>
    <sheetView workbookViewId="0"/>
  </sheetViews>
  <sheetFormatPr baseColWidth="10" defaultColWidth="8.83203125" defaultRowHeight="15" x14ac:dyDescent="0.2"/>
  <sheetData>
    <row r="1" spans="1:3" x14ac:dyDescent="0.2">
      <c r="C1" s="2" t="s">
        <v>99</v>
      </c>
    </row>
    <row r="2" spans="1:3" x14ac:dyDescent="0.2">
      <c r="A2" s="2" t="s">
        <v>1</v>
      </c>
      <c r="B2" s="2" t="s">
        <v>100</v>
      </c>
      <c r="C2" t="s">
        <v>101</v>
      </c>
    </row>
    <row r="3" spans="1:3" x14ac:dyDescent="0.2">
      <c r="A3" s="2" t="s">
        <v>1</v>
      </c>
      <c r="B3" s="2" t="s">
        <v>102</v>
      </c>
      <c r="C3" t="s">
        <v>101</v>
      </c>
    </row>
    <row r="4" spans="1:3" x14ac:dyDescent="0.2">
      <c r="A4" s="2" t="s">
        <v>1</v>
      </c>
      <c r="B4" s="2" t="s">
        <v>103</v>
      </c>
      <c r="C4" t="s">
        <v>101</v>
      </c>
    </row>
    <row r="5" spans="1:3" x14ac:dyDescent="0.2">
      <c r="A5" s="2" t="s">
        <v>1</v>
      </c>
      <c r="B5" s="2" t="s">
        <v>104</v>
      </c>
      <c r="C5" t="s">
        <v>101</v>
      </c>
    </row>
    <row r="6" spans="1:3" x14ac:dyDescent="0.2">
      <c r="A6" s="2" t="s">
        <v>1</v>
      </c>
      <c r="B6" s="2" t="s">
        <v>105</v>
      </c>
      <c r="C6" t="s">
        <v>101</v>
      </c>
    </row>
    <row r="7" spans="1:3" x14ac:dyDescent="0.2">
      <c r="A7" s="2" t="s">
        <v>1</v>
      </c>
      <c r="B7" s="2" t="s">
        <v>106</v>
      </c>
      <c r="C7" t="s">
        <v>101</v>
      </c>
    </row>
    <row r="8" spans="1:3" x14ac:dyDescent="0.2">
      <c r="A8" s="2" t="s">
        <v>1</v>
      </c>
      <c r="B8" s="2" t="s">
        <v>107</v>
      </c>
      <c r="C8" t="s">
        <v>101</v>
      </c>
    </row>
    <row r="9" spans="1:3" x14ac:dyDescent="0.2">
      <c r="A9" s="2" t="s">
        <v>1</v>
      </c>
      <c r="B9" s="2" t="s">
        <v>108</v>
      </c>
      <c r="C9" t="s">
        <v>101</v>
      </c>
    </row>
    <row r="10" spans="1:3" x14ac:dyDescent="0.2">
      <c r="A10" s="2" t="s">
        <v>1</v>
      </c>
      <c r="B10" s="2" t="s">
        <v>109</v>
      </c>
      <c r="C10" t="s">
        <v>101</v>
      </c>
    </row>
    <row r="11" spans="1:3" x14ac:dyDescent="0.2">
      <c r="A11" s="2" t="s">
        <v>1</v>
      </c>
      <c r="B11" s="2" t="s">
        <v>110</v>
      </c>
      <c r="C11" t="s">
        <v>101</v>
      </c>
    </row>
    <row r="12" spans="1:3" x14ac:dyDescent="0.2">
      <c r="A12" s="2" t="s">
        <v>1</v>
      </c>
      <c r="B12" s="2" t="s">
        <v>111</v>
      </c>
      <c r="C12" t="s">
        <v>101</v>
      </c>
    </row>
    <row r="13" spans="1:3" x14ac:dyDescent="0.2">
      <c r="A13" s="2" t="s">
        <v>1</v>
      </c>
      <c r="B13" s="2" t="s">
        <v>112</v>
      </c>
      <c r="C13" t="s">
        <v>101</v>
      </c>
    </row>
    <row r="14" spans="1:3" x14ac:dyDescent="0.2">
      <c r="A14" s="2" t="s">
        <v>1</v>
      </c>
      <c r="B14" s="2" t="s">
        <v>113</v>
      </c>
      <c r="C14" t="s">
        <v>101</v>
      </c>
    </row>
    <row r="15" spans="1:3" x14ac:dyDescent="0.2">
      <c r="A15" s="2" t="s">
        <v>1</v>
      </c>
      <c r="B15" s="2" t="s">
        <v>114</v>
      </c>
      <c r="C15" t="s">
        <v>101</v>
      </c>
    </row>
    <row r="16" spans="1:3" x14ac:dyDescent="0.2">
      <c r="A16" s="2" t="s">
        <v>1</v>
      </c>
      <c r="B16" s="2" t="s">
        <v>115</v>
      </c>
      <c r="C16" t="s">
        <v>101</v>
      </c>
    </row>
    <row r="17" spans="1:3" x14ac:dyDescent="0.2">
      <c r="A17" s="2" t="s">
        <v>1</v>
      </c>
      <c r="B17" s="2" t="s">
        <v>116</v>
      </c>
      <c r="C17" t="s">
        <v>101</v>
      </c>
    </row>
    <row r="18" spans="1:3" x14ac:dyDescent="0.2">
      <c r="A18" s="2" t="s">
        <v>1</v>
      </c>
      <c r="B18" s="2" t="s">
        <v>117</v>
      </c>
      <c r="C18" t="s">
        <v>101</v>
      </c>
    </row>
    <row r="19" spans="1:3" x14ac:dyDescent="0.2">
      <c r="A19" s="2" t="s">
        <v>1</v>
      </c>
      <c r="B19" s="2" t="s">
        <v>118</v>
      </c>
      <c r="C19" t="s">
        <v>101</v>
      </c>
    </row>
    <row r="20" spans="1:3" x14ac:dyDescent="0.2">
      <c r="A20" s="2" t="s">
        <v>1</v>
      </c>
      <c r="B20" s="2" t="s">
        <v>119</v>
      </c>
      <c r="C20" t="s">
        <v>101</v>
      </c>
    </row>
    <row r="21" spans="1:3" x14ac:dyDescent="0.2">
      <c r="A21" s="2" t="s">
        <v>1</v>
      </c>
      <c r="B21" s="2" t="s">
        <v>120</v>
      </c>
      <c r="C21" t="s">
        <v>101</v>
      </c>
    </row>
    <row r="22" spans="1:3" x14ac:dyDescent="0.2">
      <c r="A22" s="2" t="s">
        <v>1</v>
      </c>
      <c r="B22" s="2" t="s">
        <v>121</v>
      </c>
      <c r="C22" t="s">
        <v>101</v>
      </c>
    </row>
    <row r="23" spans="1:3" x14ac:dyDescent="0.2">
      <c r="A23" s="2" t="s">
        <v>1</v>
      </c>
      <c r="B23" s="2" t="s">
        <v>122</v>
      </c>
      <c r="C23" t="s">
        <v>101</v>
      </c>
    </row>
    <row r="24" spans="1:3" x14ac:dyDescent="0.2">
      <c r="A24" s="2" t="s">
        <v>1</v>
      </c>
      <c r="B24" s="2" t="s">
        <v>123</v>
      </c>
      <c r="C24" t="s">
        <v>101</v>
      </c>
    </row>
    <row r="25" spans="1:3" x14ac:dyDescent="0.2">
      <c r="A25" s="2" t="s">
        <v>1</v>
      </c>
      <c r="B25" s="2" t="s">
        <v>124</v>
      </c>
      <c r="C25" t="s">
        <v>101</v>
      </c>
    </row>
    <row r="26" spans="1:3" x14ac:dyDescent="0.2">
      <c r="A26" s="2" t="s">
        <v>1</v>
      </c>
      <c r="B26" s="2" t="s">
        <v>125</v>
      </c>
      <c r="C26" t="s">
        <v>101</v>
      </c>
    </row>
    <row r="27" spans="1:3" x14ac:dyDescent="0.2">
      <c r="A27" s="2" t="s">
        <v>1</v>
      </c>
      <c r="B27" s="2" t="s">
        <v>126</v>
      </c>
      <c r="C27" t="s">
        <v>101</v>
      </c>
    </row>
    <row r="28" spans="1:3" x14ac:dyDescent="0.2">
      <c r="A28" s="2" t="s">
        <v>1</v>
      </c>
      <c r="B28" s="2" t="s">
        <v>127</v>
      </c>
      <c r="C28" t="s">
        <v>101</v>
      </c>
    </row>
    <row r="29" spans="1:3" x14ac:dyDescent="0.2">
      <c r="A29" s="2" t="s">
        <v>1</v>
      </c>
      <c r="B29" s="2" t="s">
        <v>128</v>
      </c>
      <c r="C29" t="s">
        <v>101</v>
      </c>
    </row>
    <row r="30" spans="1:3" x14ac:dyDescent="0.2">
      <c r="A30" s="2" t="s">
        <v>1</v>
      </c>
      <c r="B30" s="2" t="s">
        <v>129</v>
      </c>
      <c r="C30" t="s">
        <v>101</v>
      </c>
    </row>
    <row r="31" spans="1:3" x14ac:dyDescent="0.2">
      <c r="A31" s="2" t="s">
        <v>1</v>
      </c>
      <c r="B31" s="2" t="s">
        <v>130</v>
      </c>
      <c r="C31" t="s">
        <v>101</v>
      </c>
    </row>
    <row r="32" spans="1:3" x14ac:dyDescent="0.2">
      <c r="A32" s="2" t="s">
        <v>1</v>
      </c>
      <c r="B32" s="2" t="s">
        <v>131</v>
      </c>
      <c r="C32" t="s">
        <v>101</v>
      </c>
    </row>
    <row r="33" spans="1:3" x14ac:dyDescent="0.2">
      <c r="A33" s="2" t="s">
        <v>1</v>
      </c>
      <c r="B33" s="2" t="s">
        <v>132</v>
      </c>
      <c r="C33" t="s">
        <v>101</v>
      </c>
    </row>
    <row r="34" spans="1:3" x14ac:dyDescent="0.2">
      <c r="A34" s="2" t="s">
        <v>1</v>
      </c>
      <c r="B34" s="2" t="s">
        <v>133</v>
      </c>
      <c r="C34" t="s">
        <v>101</v>
      </c>
    </row>
    <row r="35" spans="1:3" x14ac:dyDescent="0.2">
      <c r="A35" s="2" t="s">
        <v>1</v>
      </c>
      <c r="B35" s="2" t="s">
        <v>134</v>
      </c>
      <c r="C35" t="s">
        <v>101</v>
      </c>
    </row>
    <row r="36" spans="1:3" x14ac:dyDescent="0.2">
      <c r="A36" s="2" t="s">
        <v>1</v>
      </c>
      <c r="B36" s="2" t="s">
        <v>135</v>
      </c>
      <c r="C36" t="s">
        <v>101</v>
      </c>
    </row>
    <row r="37" spans="1:3" x14ac:dyDescent="0.2">
      <c r="A37" s="2" t="s">
        <v>1</v>
      </c>
      <c r="B37" s="2" t="s">
        <v>136</v>
      </c>
      <c r="C37" t="s">
        <v>101</v>
      </c>
    </row>
    <row r="38" spans="1:3" x14ac:dyDescent="0.2">
      <c r="A38" s="2" t="s">
        <v>1</v>
      </c>
      <c r="B38" s="2" t="s">
        <v>137</v>
      </c>
      <c r="C38" t="s">
        <v>101</v>
      </c>
    </row>
    <row r="39" spans="1:3" x14ac:dyDescent="0.2">
      <c r="A39" s="2" t="s">
        <v>1</v>
      </c>
      <c r="B39" s="2" t="s">
        <v>138</v>
      </c>
      <c r="C39" t="s">
        <v>101</v>
      </c>
    </row>
    <row r="40" spans="1:3" x14ac:dyDescent="0.2">
      <c r="A40" s="2" t="s">
        <v>1</v>
      </c>
      <c r="B40" s="2" t="s">
        <v>139</v>
      </c>
      <c r="C40" t="s">
        <v>101</v>
      </c>
    </row>
    <row r="41" spans="1:3" x14ac:dyDescent="0.2">
      <c r="A41" s="2" t="s">
        <v>1</v>
      </c>
      <c r="B41" s="2" t="s">
        <v>140</v>
      </c>
      <c r="C41" t="s">
        <v>101</v>
      </c>
    </row>
    <row r="42" spans="1:3" x14ac:dyDescent="0.2">
      <c r="A42" s="2" t="s">
        <v>1</v>
      </c>
      <c r="B42" s="2" t="s">
        <v>141</v>
      </c>
      <c r="C42" t="s">
        <v>101</v>
      </c>
    </row>
    <row r="43" spans="1:3" x14ac:dyDescent="0.2">
      <c r="A43" s="2" t="s">
        <v>1</v>
      </c>
      <c r="B43" s="2" t="s">
        <v>142</v>
      </c>
      <c r="C43" t="s">
        <v>101</v>
      </c>
    </row>
    <row r="44" spans="1:3" x14ac:dyDescent="0.2">
      <c r="A44" s="2" t="s">
        <v>1</v>
      </c>
      <c r="B44" s="2" t="s">
        <v>143</v>
      </c>
      <c r="C44" t="s">
        <v>101</v>
      </c>
    </row>
    <row r="45" spans="1:3" x14ac:dyDescent="0.2">
      <c r="A45" s="2" t="s">
        <v>1</v>
      </c>
      <c r="B45" s="2" t="s">
        <v>144</v>
      </c>
      <c r="C45" t="s">
        <v>101</v>
      </c>
    </row>
    <row r="46" spans="1:3" x14ac:dyDescent="0.2">
      <c r="A46" s="2" t="s">
        <v>1</v>
      </c>
      <c r="B46" s="2" t="s">
        <v>145</v>
      </c>
      <c r="C46" t="s">
        <v>101</v>
      </c>
    </row>
    <row r="47" spans="1:3" x14ac:dyDescent="0.2">
      <c r="A47" s="2" t="s">
        <v>1</v>
      </c>
      <c r="B47" s="2" t="s">
        <v>146</v>
      </c>
      <c r="C47" t="s">
        <v>101</v>
      </c>
    </row>
    <row r="48" spans="1:3" x14ac:dyDescent="0.2">
      <c r="A48" s="2" t="s">
        <v>1</v>
      </c>
      <c r="B48" s="2" t="s">
        <v>147</v>
      </c>
      <c r="C48" t="s">
        <v>101</v>
      </c>
    </row>
    <row r="49" spans="1:3" x14ac:dyDescent="0.2">
      <c r="A49" s="2" t="s">
        <v>1</v>
      </c>
      <c r="B49" s="2" t="s">
        <v>148</v>
      </c>
      <c r="C49" t="s">
        <v>101</v>
      </c>
    </row>
    <row r="50" spans="1:3" x14ac:dyDescent="0.2">
      <c r="A50" s="2" t="s">
        <v>1</v>
      </c>
      <c r="B50" s="2" t="s">
        <v>149</v>
      </c>
      <c r="C50" t="s">
        <v>101</v>
      </c>
    </row>
    <row r="51" spans="1:3" x14ac:dyDescent="0.2">
      <c r="A51" s="2" t="s">
        <v>1</v>
      </c>
      <c r="B51" s="2" t="s">
        <v>150</v>
      </c>
      <c r="C51" t="s">
        <v>101</v>
      </c>
    </row>
    <row r="52" spans="1:3" x14ac:dyDescent="0.2">
      <c r="A52" s="2" t="s">
        <v>1</v>
      </c>
      <c r="B52" s="2" t="s">
        <v>151</v>
      </c>
      <c r="C52" t="s">
        <v>101</v>
      </c>
    </row>
    <row r="53" spans="1:3" x14ac:dyDescent="0.2">
      <c r="A53" s="2" t="s">
        <v>1</v>
      </c>
      <c r="B53" s="2" t="s">
        <v>152</v>
      </c>
      <c r="C53" t="s">
        <v>101</v>
      </c>
    </row>
    <row r="54" spans="1:3" x14ac:dyDescent="0.2">
      <c r="A54" s="2" t="s">
        <v>1</v>
      </c>
      <c r="B54" s="2" t="s">
        <v>153</v>
      </c>
      <c r="C54" t="s">
        <v>101</v>
      </c>
    </row>
    <row r="55" spans="1:3" x14ac:dyDescent="0.2">
      <c r="A55" s="2" t="s">
        <v>1</v>
      </c>
      <c r="B55" s="2" t="s">
        <v>154</v>
      </c>
      <c r="C55" t="s">
        <v>101</v>
      </c>
    </row>
    <row r="56" spans="1:3" x14ac:dyDescent="0.2">
      <c r="A56" s="2" t="s">
        <v>1</v>
      </c>
      <c r="B56" s="2" t="s">
        <v>155</v>
      </c>
      <c r="C56" t="s">
        <v>101</v>
      </c>
    </row>
    <row r="57" spans="1:3" x14ac:dyDescent="0.2">
      <c r="A57" s="2" t="s">
        <v>1</v>
      </c>
      <c r="B57" s="2" t="s">
        <v>156</v>
      </c>
      <c r="C57" t="s">
        <v>101</v>
      </c>
    </row>
    <row r="58" spans="1:3" x14ac:dyDescent="0.2">
      <c r="A58" s="2" t="s">
        <v>1</v>
      </c>
      <c r="B58" s="2" t="s">
        <v>157</v>
      </c>
      <c r="C58" t="s">
        <v>101</v>
      </c>
    </row>
    <row r="59" spans="1:3" x14ac:dyDescent="0.2">
      <c r="A59" s="2" t="s">
        <v>1</v>
      </c>
      <c r="B59" s="2" t="s">
        <v>158</v>
      </c>
      <c r="C59" t="s">
        <v>101</v>
      </c>
    </row>
    <row r="60" spans="1:3" x14ac:dyDescent="0.2">
      <c r="A60" s="2" t="s">
        <v>1</v>
      </c>
      <c r="B60" s="2" t="s">
        <v>159</v>
      </c>
      <c r="C60" t="s">
        <v>101</v>
      </c>
    </row>
    <row r="61" spans="1:3" x14ac:dyDescent="0.2">
      <c r="A61" s="2" t="s">
        <v>1</v>
      </c>
      <c r="B61" s="2" t="s">
        <v>160</v>
      </c>
      <c r="C61" t="s">
        <v>101</v>
      </c>
    </row>
    <row r="62" spans="1:3" x14ac:dyDescent="0.2">
      <c r="A62" s="2" t="s">
        <v>1</v>
      </c>
      <c r="B62" s="2" t="s">
        <v>161</v>
      </c>
      <c r="C62" t="s">
        <v>101</v>
      </c>
    </row>
    <row r="63" spans="1:3" x14ac:dyDescent="0.2">
      <c r="A63" s="2" t="s">
        <v>1</v>
      </c>
      <c r="B63" s="2" t="s">
        <v>162</v>
      </c>
      <c r="C63" t="s">
        <v>101</v>
      </c>
    </row>
    <row r="64" spans="1:3" x14ac:dyDescent="0.2">
      <c r="A64" s="2" t="s">
        <v>1</v>
      </c>
      <c r="B64" s="2" t="s">
        <v>163</v>
      </c>
      <c r="C64" t="s">
        <v>101</v>
      </c>
    </row>
    <row r="65" spans="1:3" x14ac:dyDescent="0.2">
      <c r="A65" s="2" t="s">
        <v>1</v>
      </c>
      <c r="B65" s="2" t="s">
        <v>164</v>
      </c>
      <c r="C65" t="s">
        <v>101</v>
      </c>
    </row>
    <row r="66" spans="1:3" x14ac:dyDescent="0.2">
      <c r="A66" s="2" t="s">
        <v>1</v>
      </c>
      <c r="B66" s="2" t="s">
        <v>165</v>
      </c>
      <c r="C66" t="s">
        <v>101</v>
      </c>
    </row>
    <row r="67" spans="1:3" x14ac:dyDescent="0.2">
      <c r="A67" s="2" t="s">
        <v>1</v>
      </c>
      <c r="B67" s="2" t="s">
        <v>166</v>
      </c>
      <c r="C67" t="s">
        <v>101</v>
      </c>
    </row>
    <row r="68" spans="1:3" x14ac:dyDescent="0.2">
      <c r="A68" s="2" t="s">
        <v>1</v>
      </c>
      <c r="B68" s="2" t="s">
        <v>167</v>
      </c>
      <c r="C68" t="s">
        <v>101</v>
      </c>
    </row>
    <row r="69" spans="1:3" x14ac:dyDescent="0.2">
      <c r="A69" s="2" t="s">
        <v>1</v>
      </c>
      <c r="B69" s="2" t="s">
        <v>168</v>
      </c>
      <c r="C69" t="s">
        <v>101</v>
      </c>
    </row>
    <row r="70" spans="1:3" x14ac:dyDescent="0.2">
      <c r="A70" s="2" t="s">
        <v>1</v>
      </c>
      <c r="B70" s="2" t="s">
        <v>169</v>
      </c>
      <c r="C70" t="s">
        <v>101</v>
      </c>
    </row>
    <row r="71" spans="1:3" x14ac:dyDescent="0.2">
      <c r="A71" s="2" t="s">
        <v>1</v>
      </c>
      <c r="B71" s="2" t="s">
        <v>170</v>
      </c>
      <c r="C71" t="s">
        <v>101</v>
      </c>
    </row>
    <row r="72" spans="1:3" x14ac:dyDescent="0.2">
      <c r="A72" s="2" t="s">
        <v>1</v>
      </c>
      <c r="B72" s="2" t="s">
        <v>171</v>
      </c>
      <c r="C72" t="s">
        <v>101</v>
      </c>
    </row>
    <row r="73" spans="1:3" x14ac:dyDescent="0.2">
      <c r="A73" s="2" t="s">
        <v>1</v>
      </c>
      <c r="B73" s="2" t="s">
        <v>172</v>
      </c>
      <c r="C73" t="s">
        <v>101</v>
      </c>
    </row>
    <row r="74" spans="1:3" x14ac:dyDescent="0.2">
      <c r="A74" s="2" t="s">
        <v>1</v>
      </c>
      <c r="B74" s="2" t="s">
        <v>173</v>
      </c>
      <c r="C74" t="s">
        <v>101</v>
      </c>
    </row>
    <row r="75" spans="1:3" x14ac:dyDescent="0.2">
      <c r="A75" s="2" t="s">
        <v>1</v>
      </c>
      <c r="B75" s="2" t="s">
        <v>174</v>
      </c>
      <c r="C75" t="s">
        <v>101</v>
      </c>
    </row>
    <row r="76" spans="1:3" x14ac:dyDescent="0.2">
      <c r="A76" s="2" t="s">
        <v>1</v>
      </c>
      <c r="B76" s="2" t="s">
        <v>175</v>
      </c>
      <c r="C76" t="s">
        <v>101</v>
      </c>
    </row>
    <row r="77" spans="1:3" x14ac:dyDescent="0.2">
      <c r="A77" s="2" t="s">
        <v>1</v>
      </c>
      <c r="B77" s="2" t="s">
        <v>176</v>
      </c>
      <c r="C77" t="s">
        <v>101</v>
      </c>
    </row>
    <row r="78" spans="1:3" x14ac:dyDescent="0.2">
      <c r="A78" s="2" t="s">
        <v>1</v>
      </c>
      <c r="B78" s="2" t="s">
        <v>177</v>
      </c>
      <c r="C78" t="s">
        <v>101</v>
      </c>
    </row>
    <row r="79" spans="1:3" x14ac:dyDescent="0.2">
      <c r="A79" s="2" t="s">
        <v>1</v>
      </c>
      <c r="B79" s="2" t="s">
        <v>178</v>
      </c>
      <c r="C79" t="s">
        <v>101</v>
      </c>
    </row>
    <row r="80" spans="1:3" x14ac:dyDescent="0.2">
      <c r="A80" s="2" t="s">
        <v>1</v>
      </c>
      <c r="B80" s="2" t="s">
        <v>179</v>
      </c>
      <c r="C80" t="s">
        <v>101</v>
      </c>
    </row>
    <row r="81" spans="1:3" x14ac:dyDescent="0.2">
      <c r="A81" s="2" t="s">
        <v>1</v>
      </c>
      <c r="B81" s="2" t="s">
        <v>180</v>
      </c>
      <c r="C81" t="s">
        <v>101</v>
      </c>
    </row>
    <row r="82" spans="1:3" x14ac:dyDescent="0.2">
      <c r="A82" s="2" t="s">
        <v>1</v>
      </c>
      <c r="B82" s="2" t="s">
        <v>181</v>
      </c>
      <c r="C82" t="s">
        <v>101</v>
      </c>
    </row>
    <row r="83" spans="1:3" x14ac:dyDescent="0.2">
      <c r="A83" s="2" t="s">
        <v>1</v>
      </c>
      <c r="B83" s="2" t="s">
        <v>182</v>
      </c>
      <c r="C83" t="s">
        <v>101</v>
      </c>
    </row>
    <row r="84" spans="1:3" x14ac:dyDescent="0.2">
      <c r="A84" s="2" t="s">
        <v>1</v>
      </c>
      <c r="B84" s="2" t="s">
        <v>183</v>
      </c>
      <c r="C84" t="s">
        <v>101</v>
      </c>
    </row>
    <row r="85" spans="1:3" x14ac:dyDescent="0.2">
      <c r="A85" s="2" t="s">
        <v>1</v>
      </c>
      <c r="B85" s="2" t="s">
        <v>184</v>
      </c>
      <c r="C85" t="s">
        <v>101</v>
      </c>
    </row>
    <row r="86" spans="1:3" x14ac:dyDescent="0.2">
      <c r="A86" s="2" t="s">
        <v>1</v>
      </c>
      <c r="B86" s="2" t="s">
        <v>185</v>
      </c>
      <c r="C86" t="s">
        <v>101</v>
      </c>
    </row>
    <row r="87" spans="1:3" x14ac:dyDescent="0.2">
      <c r="A87" s="2" t="s">
        <v>1</v>
      </c>
      <c r="B87" s="2" t="s">
        <v>186</v>
      </c>
      <c r="C87" t="s">
        <v>101</v>
      </c>
    </row>
    <row r="88" spans="1:3" x14ac:dyDescent="0.2">
      <c r="A88" s="2" t="s">
        <v>1</v>
      </c>
      <c r="B88" s="2" t="s">
        <v>187</v>
      </c>
      <c r="C88" t="s">
        <v>101</v>
      </c>
    </row>
    <row r="89" spans="1:3" x14ac:dyDescent="0.2">
      <c r="A89" s="2" t="s">
        <v>1</v>
      </c>
      <c r="B89" s="2" t="s">
        <v>188</v>
      </c>
      <c r="C89" t="s">
        <v>101</v>
      </c>
    </row>
    <row r="90" spans="1:3" x14ac:dyDescent="0.2">
      <c r="A90" s="2" t="s">
        <v>1</v>
      </c>
      <c r="B90" s="2" t="s">
        <v>189</v>
      </c>
      <c r="C90" t="s">
        <v>101</v>
      </c>
    </row>
    <row r="91" spans="1:3" x14ac:dyDescent="0.2">
      <c r="A91" s="2" t="s">
        <v>1</v>
      </c>
      <c r="B91" s="2" t="s">
        <v>190</v>
      </c>
      <c r="C91" t="s">
        <v>101</v>
      </c>
    </row>
    <row r="92" spans="1:3" x14ac:dyDescent="0.2">
      <c r="A92" s="2" t="s">
        <v>1</v>
      </c>
      <c r="B92" s="2" t="s">
        <v>191</v>
      </c>
      <c r="C92" t="s">
        <v>101</v>
      </c>
    </row>
    <row r="93" spans="1:3" x14ac:dyDescent="0.2">
      <c r="A93" s="2" t="s">
        <v>1</v>
      </c>
      <c r="B93" s="2" t="s">
        <v>192</v>
      </c>
      <c r="C93" t="s">
        <v>101</v>
      </c>
    </row>
    <row r="94" spans="1:3" x14ac:dyDescent="0.2">
      <c r="A94" s="2" t="s">
        <v>1</v>
      </c>
      <c r="B94" s="2" t="s">
        <v>193</v>
      </c>
      <c r="C94" t="s">
        <v>101</v>
      </c>
    </row>
    <row r="95" spans="1:3" x14ac:dyDescent="0.2">
      <c r="A95" s="2" t="s">
        <v>1</v>
      </c>
      <c r="B95" s="2" t="s">
        <v>194</v>
      </c>
      <c r="C95" t="s">
        <v>101</v>
      </c>
    </row>
    <row r="96" spans="1:3" x14ac:dyDescent="0.2">
      <c r="A96" s="2" t="s">
        <v>1</v>
      </c>
      <c r="B96" s="2" t="s">
        <v>195</v>
      </c>
      <c r="C96" t="s">
        <v>101</v>
      </c>
    </row>
    <row r="97" spans="1:3" x14ac:dyDescent="0.2">
      <c r="A97" s="2" t="s">
        <v>1</v>
      </c>
      <c r="B97" s="2" t="s">
        <v>196</v>
      </c>
      <c r="C97" t="s">
        <v>101</v>
      </c>
    </row>
    <row r="98" spans="1:3" x14ac:dyDescent="0.2">
      <c r="A98" s="2" t="s">
        <v>1</v>
      </c>
      <c r="B98" s="2" t="s">
        <v>197</v>
      </c>
      <c r="C98" t="s">
        <v>101</v>
      </c>
    </row>
    <row r="99" spans="1:3" x14ac:dyDescent="0.2">
      <c r="A99" s="2" t="s">
        <v>1</v>
      </c>
      <c r="B99" s="2" t="s">
        <v>198</v>
      </c>
      <c r="C99" t="s">
        <v>101</v>
      </c>
    </row>
    <row r="100" spans="1:3" x14ac:dyDescent="0.2">
      <c r="A100" s="2" t="s">
        <v>1</v>
      </c>
      <c r="B100" s="2" t="s">
        <v>199</v>
      </c>
      <c r="C100" t="s">
        <v>101</v>
      </c>
    </row>
    <row r="101" spans="1:3" x14ac:dyDescent="0.2">
      <c r="A101" s="2" t="s">
        <v>1</v>
      </c>
      <c r="B101" s="2" t="s">
        <v>200</v>
      </c>
      <c r="C101" t="s">
        <v>101</v>
      </c>
    </row>
    <row r="102" spans="1:3" x14ac:dyDescent="0.2">
      <c r="A102" s="2" t="s">
        <v>1</v>
      </c>
      <c r="B102" s="2" t="s">
        <v>201</v>
      </c>
      <c r="C102" t="s">
        <v>101</v>
      </c>
    </row>
    <row r="103" spans="1:3" x14ac:dyDescent="0.2">
      <c r="A103" s="2" t="s">
        <v>1</v>
      </c>
      <c r="B103" s="2" t="s">
        <v>202</v>
      </c>
      <c r="C103" t="s">
        <v>101</v>
      </c>
    </row>
    <row r="104" spans="1:3" x14ac:dyDescent="0.2">
      <c r="A104" s="2" t="s">
        <v>1</v>
      </c>
      <c r="B104" s="2" t="s">
        <v>203</v>
      </c>
      <c r="C104" t="s">
        <v>101</v>
      </c>
    </row>
    <row r="105" spans="1:3" x14ac:dyDescent="0.2">
      <c r="A105" s="2" t="s">
        <v>1</v>
      </c>
      <c r="B105" s="2" t="s">
        <v>204</v>
      </c>
      <c r="C105" t="s">
        <v>101</v>
      </c>
    </row>
    <row r="106" spans="1:3" x14ac:dyDescent="0.2">
      <c r="A106" s="2" t="s">
        <v>1</v>
      </c>
      <c r="B106" s="2" t="s">
        <v>205</v>
      </c>
      <c r="C106" t="s">
        <v>101</v>
      </c>
    </row>
    <row r="107" spans="1:3" x14ac:dyDescent="0.2">
      <c r="A107" s="2" t="s">
        <v>1</v>
      </c>
      <c r="B107" s="2" t="s">
        <v>206</v>
      </c>
      <c r="C107" t="s">
        <v>101</v>
      </c>
    </row>
    <row r="108" spans="1:3" x14ac:dyDescent="0.2">
      <c r="A108" s="2" t="s">
        <v>1</v>
      </c>
      <c r="B108" s="2" t="s">
        <v>207</v>
      </c>
      <c r="C108" t="s">
        <v>101</v>
      </c>
    </row>
    <row r="109" spans="1:3" x14ac:dyDescent="0.2">
      <c r="A109" s="2" t="s">
        <v>1</v>
      </c>
      <c r="B109" s="2" t="s">
        <v>208</v>
      </c>
      <c r="C109" t="s">
        <v>101</v>
      </c>
    </row>
    <row r="110" spans="1:3" x14ac:dyDescent="0.2">
      <c r="A110" s="2" t="s">
        <v>1</v>
      </c>
      <c r="B110" s="2" t="s">
        <v>209</v>
      </c>
      <c r="C110" t="s">
        <v>101</v>
      </c>
    </row>
    <row r="111" spans="1:3" x14ac:dyDescent="0.2">
      <c r="A111" s="2" t="s">
        <v>1</v>
      </c>
      <c r="B111" s="2" t="s">
        <v>210</v>
      </c>
      <c r="C111" t="s">
        <v>101</v>
      </c>
    </row>
    <row r="112" spans="1:3" x14ac:dyDescent="0.2">
      <c r="A112" s="2" t="s">
        <v>1</v>
      </c>
      <c r="B112" s="2" t="s">
        <v>211</v>
      </c>
      <c r="C112" t="s">
        <v>101</v>
      </c>
    </row>
    <row r="113" spans="1:3" x14ac:dyDescent="0.2">
      <c r="A113" s="2" t="s">
        <v>1</v>
      </c>
      <c r="B113" s="2" t="s">
        <v>212</v>
      </c>
      <c r="C113" t="s">
        <v>101</v>
      </c>
    </row>
    <row r="114" spans="1:3" x14ac:dyDescent="0.2">
      <c r="A114" s="2" t="s">
        <v>1</v>
      </c>
      <c r="B114" s="2" t="s">
        <v>213</v>
      </c>
      <c r="C114" t="s">
        <v>101</v>
      </c>
    </row>
    <row r="115" spans="1:3" x14ac:dyDescent="0.2">
      <c r="A115" s="2" t="s">
        <v>1</v>
      </c>
      <c r="B115" s="2" t="s">
        <v>214</v>
      </c>
      <c r="C115" t="s">
        <v>101</v>
      </c>
    </row>
    <row r="116" spans="1:3" x14ac:dyDescent="0.2">
      <c r="A116" s="2" t="s">
        <v>1</v>
      </c>
      <c r="B116" s="2" t="s">
        <v>215</v>
      </c>
      <c r="C116" t="s">
        <v>101</v>
      </c>
    </row>
    <row r="117" spans="1:3" x14ac:dyDescent="0.2">
      <c r="A117" s="2" t="s">
        <v>1</v>
      </c>
      <c r="B117" s="2" t="s">
        <v>216</v>
      </c>
      <c r="C117" t="s">
        <v>101</v>
      </c>
    </row>
    <row r="118" spans="1:3" x14ac:dyDescent="0.2">
      <c r="A118" s="2" t="s">
        <v>1</v>
      </c>
      <c r="B118" s="2" t="s">
        <v>217</v>
      </c>
      <c r="C118" t="s">
        <v>101</v>
      </c>
    </row>
    <row r="119" spans="1:3" x14ac:dyDescent="0.2">
      <c r="A119" s="2" t="s">
        <v>1</v>
      </c>
      <c r="B119" s="2" t="s">
        <v>218</v>
      </c>
      <c r="C119" t="s">
        <v>101</v>
      </c>
    </row>
    <row r="120" spans="1:3" x14ac:dyDescent="0.2">
      <c r="A120" s="2" t="s">
        <v>1</v>
      </c>
      <c r="B120" s="2" t="s">
        <v>219</v>
      </c>
      <c r="C120" t="s">
        <v>101</v>
      </c>
    </row>
    <row r="121" spans="1:3" x14ac:dyDescent="0.2">
      <c r="A121" s="2" t="s">
        <v>1</v>
      </c>
      <c r="B121" s="2" t="s">
        <v>220</v>
      </c>
      <c r="C121" t="s">
        <v>101</v>
      </c>
    </row>
    <row r="122" spans="1:3" x14ac:dyDescent="0.2">
      <c r="A122" s="2" t="s">
        <v>1</v>
      </c>
      <c r="B122" s="2" t="s">
        <v>221</v>
      </c>
      <c r="C122" t="s">
        <v>101</v>
      </c>
    </row>
    <row r="123" spans="1:3" x14ac:dyDescent="0.2">
      <c r="A123" s="2" t="s">
        <v>1</v>
      </c>
      <c r="B123" s="2" t="s">
        <v>222</v>
      </c>
      <c r="C123" t="s">
        <v>101</v>
      </c>
    </row>
    <row r="124" spans="1:3" x14ac:dyDescent="0.2">
      <c r="A124" s="2" t="s">
        <v>1</v>
      </c>
      <c r="B124" s="2" t="s">
        <v>223</v>
      </c>
      <c r="C124" t="s">
        <v>101</v>
      </c>
    </row>
    <row r="125" spans="1:3" x14ac:dyDescent="0.2">
      <c r="A125" s="2" t="s">
        <v>1</v>
      </c>
      <c r="B125" s="2" t="s">
        <v>224</v>
      </c>
      <c r="C125" t="s">
        <v>101</v>
      </c>
    </row>
    <row r="126" spans="1:3" x14ac:dyDescent="0.2">
      <c r="A126" s="2" t="s">
        <v>1</v>
      </c>
      <c r="B126" s="2" t="s">
        <v>225</v>
      </c>
      <c r="C126" t="s">
        <v>101</v>
      </c>
    </row>
    <row r="127" spans="1:3" x14ac:dyDescent="0.2">
      <c r="A127" s="2" t="s">
        <v>1</v>
      </c>
      <c r="B127" s="2" t="s">
        <v>226</v>
      </c>
      <c r="C127" t="s">
        <v>101</v>
      </c>
    </row>
    <row r="128" spans="1:3" x14ac:dyDescent="0.2">
      <c r="A128" s="2" t="s">
        <v>1</v>
      </c>
      <c r="B128" s="2" t="s">
        <v>227</v>
      </c>
      <c r="C128" t="s">
        <v>101</v>
      </c>
    </row>
    <row r="129" spans="1:3" x14ac:dyDescent="0.2">
      <c r="A129" s="2" t="s">
        <v>1</v>
      </c>
      <c r="B129" s="2" t="s">
        <v>228</v>
      </c>
      <c r="C129" t="s">
        <v>101</v>
      </c>
    </row>
    <row r="130" spans="1:3" x14ac:dyDescent="0.2">
      <c r="A130" s="2" t="s">
        <v>1</v>
      </c>
      <c r="B130" s="2" t="s">
        <v>229</v>
      </c>
      <c r="C130" t="s">
        <v>101</v>
      </c>
    </row>
    <row r="131" spans="1:3" x14ac:dyDescent="0.2">
      <c r="A131" s="2" t="s">
        <v>1</v>
      </c>
      <c r="B131" s="2" t="s">
        <v>230</v>
      </c>
      <c r="C131" t="s">
        <v>101</v>
      </c>
    </row>
    <row r="132" spans="1:3" x14ac:dyDescent="0.2">
      <c r="A132" s="2" t="s">
        <v>1</v>
      </c>
      <c r="B132" s="2" t="s">
        <v>231</v>
      </c>
      <c r="C132" t="s">
        <v>101</v>
      </c>
    </row>
    <row r="133" spans="1:3" x14ac:dyDescent="0.2">
      <c r="A133" s="2" t="s">
        <v>1</v>
      </c>
      <c r="B133" s="2" t="s">
        <v>232</v>
      </c>
      <c r="C133" t="s">
        <v>101</v>
      </c>
    </row>
    <row r="134" spans="1:3" x14ac:dyDescent="0.2">
      <c r="A134" s="2" t="s">
        <v>1</v>
      </c>
      <c r="B134" s="2" t="s">
        <v>233</v>
      </c>
      <c r="C134" t="s">
        <v>101</v>
      </c>
    </row>
    <row r="135" spans="1:3" x14ac:dyDescent="0.2">
      <c r="A135" s="2" t="s">
        <v>1</v>
      </c>
      <c r="B135" s="2" t="s">
        <v>234</v>
      </c>
      <c r="C135" t="s">
        <v>101</v>
      </c>
    </row>
    <row r="136" spans="1:3" x14ac:dyDescent="0.2">
      <c r="A136" s="2" t="s">
        <v>1</v>
      </c>
      <c r="B136" s="2" t="s">
        <v>235</v>
      </c>
      <c r="C136" t="s">
        <v>101</v>
      </c>
    </row>
    <row r="137" spans="1:3" x14ac:dyDescent="0.2">
      <c r="A137" s="2" t="s">
        <v>1</v>
      </c>
      <c r="B137" s="2" t="s">
        <v>236</v>
      </c>
      <c r="C137" t="s">
        <v>101</v>
      </c>
    </row>
    <row r="138" spans="1:3" x14ac:dyDescent="0.2">
      <c r="A138" s="2" t="s">
        <v>1</v>
      </c>
      <c r="B138" s="2" t="s">
        <v>237</v>
      </c>
      <c r="C138" t="s">
        <v>101</v>
      </c>
    </row>
    <row r="139" spans="1:3" x14ac:dyDescent="0.2">
      <c r="A139" s="2" t="s">
        <v>1</v>
      </c>
      <c r="B139" s="2" t="s">
        <v>238</v>
      </c>
      <c r="C139" t="s">
        <v>101</v>
      </c>
    </row>
    <row r="140" spans="1:3" x14ac:dyDescent="0.2">
      <c r="A140" s="2" t="s">
        <v>1</v>
      </c>
      <c r="B140" s="2" t="s">
        <v>239</v>
      </c>
      <c r="C140" t="s">
        <v>101</v>
      </c>
    </row>
    <row r="141" spans="1:3" x14ac:dyDescent="0.2">
      <c r="A141" s="2" t="s">
        <v>1</v>
      </c>
      <c r="B141" s="2" t="s">
        <v>240</v>
      </c>
      <c r="C141" t="s">
        <v>101</v>
      </c>
    </row>
    <row r="142" spans="1:3" x14ac:dyDescent="0.2">
      <c r="A142" s="2" t="s">
        <v>1</v>
      </c>
      <c r="B142" s="2" t="s">
        <v>241</v>
      </c>
      <c r="C142" t="s">
        <v>101</v>
      </c>
    </row>
    <row r="143" spans="1:3" x14ac:dyDescent="0.2">
      <c r="A143" s="2" t="s">
        <v>1</v>
      </c>
      <c r="B143" s="2" t="s">
        <v>242</v>
      </c>
      <c r="C143" t="s">
        <v>101</v>
      </c>
    </row>
    <row r="144" spans="1:3" x14ac:dyDescent="0.2">
      <c r="A144" s="2" t="s">
        <v>1</v>
      </c>
      <c r="B144" s="2" t="s">
        <v>243</v>
      </c>
      <c r="C144" t="s">
        <v>101</v>
      </c>
    </row>
    <row r="145" spans="1:3" x14ac:dyDescent="0.2">
      <c r="A145" s="2" t="s">
        <v>1</v>
      </c>
      <c r="B145" s="2" t="s">
        <v>244</v>
      </c>
      <c r="C145" t="s">
        <v>101</v>
      </c>
    </row>
    <row r="146" spans="1:3" x14ac:dyDescent="0.2">
      <c r="A146" s="2" t="s">
        <v>1</v>
      </c>
      <c r="B146" s="2" t="s">
        <v>245</v>
      </c>
      <c r="C146" t="s">
        <v>101</v>
      </c>
    </row>
    <row r="147" spans="1:3" x14ac:dyDescent="0.2">
      <c r="A147" s="2" t="s">
        <v>1</v>
      </c>
      <c r="B147" s="2" t="s">
        <v>246</v>
      </c>
      <c r="C147" t="s">
        <v>101</v>
      </c>
    </row>
    <row r="148" spans="1:3" x14ac:dyDescent="0.2">
      <c r="A148" s="2" t="s">
        <v>1</v>
      </c>
      <c r="B148" s="2" t="s">
        <v>247</v>
      </c>
      <c r="C148" t="s">
        <v>101</v>
      </c>
    </row>
    <row r="149" spans="1:3" x14ac:dyDescent="0.2">
      <c r="A149" s="2" t="s">
        <v>1</v>
      </c>
      <c r="B149" s="2" t="s">
        <v>248</v>
      </c>
      <c r="C149" t="s">
        <v>101</v>
      </c>
    </row>
    <row r="150" spans="1:3" x14ac:dyDescent="0.2">
      <c r="A150" s="2" t="s">
        <v>1</v>
      </c>
      <c r="B150" s="2" t="s">
        <v>249</v>
      </c>
      <c r="C150" t="s">
        <v>101</v>
      </c>
    </row>
    <row r="151" spans="1:3" x14ac:dyDescent="0.2">
      <c r="A151" s="2" t="s">
        <v>1</v>
      </c>
      <c r="B151" s="2" t="s">
        <v>250</v>
      </c>
      <c r="C151" t="s">
        <v>101</v>
      </c>
    </row>
    <row r="152" spans="1:3" x14ac:dyDescent="0.2">
      <c r="A152" s="2" t="s">
        <v>1</v>
      </c>
      <c r="B152" s="2" t="s">
        <v>251</v>
      </c>
      <c r="C152" t="s">
        <v>101</v>
      </c>
    </row>
    <row r="153" spans="1:3" x14ac:dyDescent="0.2">
      <c r="A153" s="2" t="s">
        <v>1</v>
      </c>
      <c r="B153" s="2" t="s">
        <v>252</v>
      </c>
      <c r="C153" t="s">
        <v>101</v>
      </c>
    </row>
    <row r="154" spans="1:3" x14ac:dyDescent="0.2">
      <c r="A154" s="2" t="s">
        <v>1</v>
      </c>
      <c r="B154" s="2" t="s">
        <v>253</v>
      </c>
      <c r="C154" t="s">
        <v>101</v>
      </c>
    </row>
    <row r="155" spans="1:3" x14ac:dyDescent="0.2">
      <c r="A155" s="2" t="s">
        <v>1</v>
      </c>
      <c r="B155" s="2" t="s">
        <v>254</v>
      </c>
      <c r="C155" t="s">
        <v>101</v>
      </c>
    </row>
    <row r="156" spans="1:3" x14ac:dyDescent="0.2">
      <c r="A156" s="2" t="s">
        <v>1</v>
      </c>
      <c r="B156" s="2" t="s">
        <v>255</v>
      </c>
      <c r="C156" t="s">
        <v>101</v>
      </c>
    </row>
    <row r="157" spans="1:3" x14ac:dyDescent="0.2">
      <c r="A157" s="2" t="s">
        <v>1</v>
      </c>
      <c r="B157" s="2" t="s">
        <v>256</v>
      </c>
      <c r="C157" t="s">
        <v>101</v>
      </c>
    </row>
    <row r="158" spans="1:3" x14ac:dyDescent="0.2">
      <c r="A158" s="2" t="s">
        <v>1</v>
      </c>
      <c r="B158" s="2" t="s">
        <v>257</v>
      </c>
      <c r="C158" t="s">
        <v>101</v>
      </c>
    </row>
    <row r="159" spans="1:3" x14ac:dyDescent="0.2">
      <c r="A159" s="2" t="s">
        <v>1</v>
      </c>
      <c r="B159" s="2" t="s">
        <v>258</v>
      </c>
      <c r="C159" t="s">
        <v>101</v>
      </c>
    </row>
    <row r="160" spans="1:3" x14ac:dyDescent="0.2">
      <c r="A160" s="2" t="s">
        <v>1</v>
      </c>
      <c r="B160" s="2" t="s">
        <v>259</v>
      </c>
      <c r="C160" t="s">
        <v>101</v>
      </c>
    </row>
    <row r="161" spans="1:3" x14ac:dyDescent="0.2">
      <c r="A161" s="2" t="s">
        <v>1</v>
      </c>
      <c r="B161" s="2" t="s">
        <v>260</v>
      </c>
      <c r="C161" t="s">
        <v>101</v>
      </c>
    </row>
    <row r="162" spans="1:3" x14ac:dyDescent="0.2">
      <c r="A162" s="2" t="s">
        <v>1</v>
      </c>
      <c r="B162" s="2" t="s">
        <v>261</v>
      </c>
      <c r="C162" t="s">
        <v>101</v>
      </c>
    </row>
    <row r="163" spans="1:3" x14ac:dyDescent="0.2">
      <c r="A163" s="2" t="s">
        <v>2</v>
      </c>
      <c r="B163" s="2" t="s">
        <v>262</v>
      </c>
      <c r="C163" t="s">
        <v>263</v>
      </c>
    </row>
    <row r="164" spans="1:3" x14ac:dyDescent="0.2">
      <c r="A164" s="2" t="s">
        <v>2</v>
      </c>
      <c r="B164" s="2" t="s">
        <v>264</v>
      </c>
      <c r="C164" t="s">
        <v>263</v>
      </c>
    </row>
    <row r="165" spans="1:3" x14ac:dyDescent="0.2">
      <c r="A165" s="2" t="s">
        <v>2</v>
      </c>
      <c r="B165" s="2" t="s">
        <v>265</v>
      </c>
      <c r="C165" t="s">
        <v>263</v>
      </c>
    </row>
    <row r="166" spans="1:3" x14ac:dyDescent="0.2">
      <c r="A166" s="2" t="s">
        <v>2</v>
      </c>
      <c r="B166" s="2" t="s">
        <v>266</v>
      </c>
      <c r="C166" t="s">
        <v>263</v>
      </c>
    </row>
    <row r="167" spans="1:3" x14ac:dyDescent="0.2">
      <c r="A167" s="2" t="s">
        <v>2</v>
      </c>
      <c r="B167" s="2" t="s">
        <v>267</v>
      </c>
      <c r="C167" t="s">
        <v>263</v>
      </c>
    </row>
    <row r="168" spans="1:3" x14ac:dyDescent="0.2">
      <c r="A168" s="2" t="s">
        <v>2</v>
      </c>
      <c r="B168" s="2" t="s">
        <v>268</v>
      </c>
      <c r="C168" t="s">
        <v>263</v>
      </c>
    </row>
    <row r="169" spans="1:3" x14ac:dyDescent="0.2">
      <c r="A169" s="2" t="s">
        <v>2</v>
      </c>
      <c r="B169" s="2" t="s">
        <v>269</v>
      </c>
      <c r="C169" t="s">
        <v>263</v>
      </c>
    </row>
    <row r="170" spans="1:3" x14ac:dyDescent="0.2">
      <c r="A170" s="2" t="s">
        <v>2</v>
      </c>
      <c r="B170" s="2" t="s">
        <v>270</v>
      </c>
      <c r="C170" t="s">
        <v>263</v>
      </c>
    </row>
    <row r="171" spans="1:3" x14ac:dyDescent="0.2">
      <c r="A171" s="2" t="s">
        <v>2</v>
      </c>
      <c r="B171" s="2" t="s">
        <v>271</v>
      </c>
      <c r="C171" t="s">
        <v>263</v>
      </c>
    </row>
    <row r="172" spans="1:3" x14ac:dyDescent="0.2">
      <c r="A172" s="2" t="s">
        <v>2</v>
      </c>
      <c r="B172" s="2" t="s">
        <v>272</v>
      </c>
      <c r="C172" t="s">
        <v>263</v>
      </c>
    </row>
    <row r="173" spans="1:3" x14ac:dyDescent="0.2">
      <c r="A173" s="2" t="s">
        <v>2</v>
      </c>
      <c r="B173" s="2" t="s">
        <v>273</v>
      </c>
      <c r="C173" t="s">
        <v>263</v>
      </c>
    </row>
    <row r="174" spans="1:3" x14ac:dyDescent="0.2">
      <c r="A174" s="2" t="s">
        <v>2</v>
      </c>
      <c r="B174" s="2" t="s">
        <v>112</v>
      </c>
      <c r="C174" t="s">
        <v>263</v>
      </c>
    </row>
    <row r="175" spans="1:3" x14ac:dyDescent="0.2">
      <c r="A175" s="2" t="s">
        <v>2</v>
      </c>
      <c r="B175" s="2" t="s">
        <v>113</v>
      </c>
      <c r="C175" t="s">
        <v>263</v>
      </c>
    </row>
    <row r="176" spans="1:3" x14ac:dyDescent="0.2">
      <c r="A176" s="2" t="s">
        <v>2</v>
      </c>
      <c r="B176" s="2" t="s">
        <v>114</v>
      </c>
      <c r="C176" t="s">
        <v>263</v>
      </c>
    </row>
    <row r="177" spans="1:3" x14ac:dyDescent="0.2">
      <c r="A177" s="2" t="s">
        <v>2</v>
      </c>
      <c r="B177" s="2" t="s">
        <v>274</v>
      </c>
      <c r="C177" t="s">
        <v>263</v>
      </c>
    </row>
    <row r="178" spans="1:3" x14ac:dyDescent="0.2">
      <c r="A178" s="2" t="s">
        <v>2</v>
      </c>
      <c r="B178" s="2" t="s">
        <v>275</v>
      </c>
      <c r="C178" t="s">
        <v>276</v>
      </c>
    </row>
    <row r="179" spans="1:3" x14ac:dyDescent="0.2">
      <c r="A179" s="2" t="s">
        <v>2</v>
      </c>
      <c r="B179" s="2" t="s">
        <v>277</v>
      </c>
      <c r="C179" t="s">
        <v>276</v>
      </c>
    </row>
    <row r="180" spans="1:3" x14ac:dyDescent="0.2">
      <c r="A180" s="2" t="s">
        <v>2</v>
      </c>
      <c r="B180" s="2" t="s">
        <v>278</v>
      </c>
      <c r="C180" t="s">
        <v>263</v>
      </c>
    </row>
    <row r="181" spans="1:3" x14ac:dyDescent="0.2">
      <c r="A181" s="2" t="s">
        <v>2</v>
      </c>
      <c r="B181" s="2" t="s">
        <v>279</v>
      </c>
      <c r="C181" t="s">
        <v>263</v>
      </c>
    </row>
    <row r="182" spans="1:3" x14ac:dyDescent="0.2">
      <c r="A182" s="2" t="s">
        <v>2</v>
      </c>
      <c r="B182" s="2" t="s">
        <v>280</v>
      </c>
      <c r="C182" t="s">
        <v>263</v>
      </c>
    </row>
    <row r="183" spans="1:3" x14ac:dyDescent="0.2">
      <c r="A183" s="2" t="s">
        <v>2</v>
      </c>
      <c r="B183" s="2" t="s">
        <v>281</v>
      </c>
      <c r="C183" t="s">
        <v>263</v>
      </c>
    </row>
    <row r="184" spans="1:3" x14ac:dyDescent="0.2">
      <c r="A184" s="2" t="s">
        <v>2</v>
      </c>
      <c r="B184" s="2" t="s">
        <v>282</v>
      </c>
      <c r="C184" t="s">
        <v>263</v>
      </c>
    </row>
    <row r="185" spans="1:3" x14ac:dyDescent="0.2">
      <c r="A185" s="2" t="s">
        <v>2</v>
      </c>
      <c r="B185" s="2" t="s">
        <v>283</v>
      </c>
      <c r="C185" t="s">
        <v>263</v>
      </c>
    </row>
    <row r="186" spans="1:3" x14ac:dyDescent="0.2">
      <c r="A186" s="2" t="s">
        <v>2</v>
      </c>
      <c r="B186" s="2" t="s">
        <v>284</v>
      </c>
      <c r="C186" t="s">
        <v>263</v>
      </c>
    </row>
    <row r="187" spans="1:3" x14ac:dyDescent="0.2">
      <c r="A187" s="2" t="s">
        <v>2</v>
      </c>
      <c r="B187" s="2" t="s">
        <v>285</v>
      </c>
      <c r="C187" t="s">
        <v>263</v>
      </c>
    </row>
    <row r="188" spans="1:3" x14ac:dyDescent="0.2">
      <c r="A188" s="2" t="s">
        <v>2</v>
      </c>
      <c r="B188" s="2" t="s">
        <v>286</v>
      </c>
      <c r="C188" t="s">
        <v>263</v>
      </c>
    </row>
    <row r="189" spans="1:3" x14ac:dyDescent="0.2">
      <c r="A189" s="2" t="s">
        <v>2</v>
      </c>
      <c r="B189" s="2" t="s">
        <v>287</v>
      </c>
      <c r="C189" t="s">
        <v>263</v>
      </c>
    </row>
    <row r="190" spans="1:3" x14ac:dyDescent="0.2">
      <c r="A190" s="2" t="s">
        <v>2</v>
      </c>
      <c r="B190" s="2" t="s">
        <v>288</v>
      </c>
      <c r="C190" t="s">
        <v>263</v>
      </c>
    </row>
    <row r="191" spans="1:3" x14ac:dyDescent="0.2">
      <c r="A191" s="2" t="s">
        <v>2</v>
      </c>
      <c r="B191" s="2" t="s">
        <v>289</v>
      </c>
      <c r="C191" t="s">
        <v>263</v>
      </c>
    </row>
    <row r="192" spans="1:3" x14ac:dyDescent="0.2">
      <c r="A192" s="2" t="s">
        <v>2</v>
      </c>
      <c r="B192" s="2" t="s">
        <v>290</v>
      </c>
      <c r="C192" t="s">
        <v>263</v>
      </c>
    </row>
    <row r="193" spans="1:3" x14ac:dyDescent="0.2">
      <c r="A193" s="2" t="s">
        <v>2</v>
      </c>
      <c r="B193" s="2" t="s">
        <v>291</v>
      </c>
      <c r="C193" t="s">
        <v>263</v>
      </c>
    </row>
    <row r="194" spans="1:3" x14ac:dyDescent="0.2">
      <c r="A194" s="2" t="s">
        <v>2</v>
      </c>
      <c r="B194" s="2" t="s">
        <v>292</v>
      </c>
      <c r="C194" t="s">
        <v>263</v>
      </c>
    </row>
    <row r="195" spans="1:3" x14ac:dyDescent="0.2">
      <c r="A195" s="2" t="s">
        <v>2</v>
      </c>
      <c r="B195" s="2" t="s">
        <v>293</v>
      </c>
      <c r="C195" t="s">
        <v>263</v>
      </c>
    </row>
    <row r="196" spans="1:3" x14ac:dyDescent="0.2">
      <c r="A196" s="2" t="s">
        <v>2</v>
      </c>
      <c r="B196" s="2" t="s">
        <v>294</v>
      </c>
      <c r="C196" t="s">
        <v>263</v>
      </c>
    </row>
    <row r="197" spans="1:3" x14ac:dyDescent="0.2">
      <c r="A197" s="2" t="s">
        <v>2</v>
      </c>
      <c r="B197" s="2" t="s">
        <v>295</v>
      </c>
      <c r="C197" t="s">
        <v>263</v>
      </c>
    </row>
    <row r="198" spans="1:3" x14ac:dyDescent="0.2">
      <c r="A198" s="2" t="s">
        <v>2</v>
      </c>
      <c r="B198" s="2" t="s">
        <v>296</v>
      </c>
      <c r="C198" t="s">
        <v>263</v>
      </c>
    </row>
    <row r="199" spans="1:3" x14ac:dyDescent="0.2">
      <c r="A199" s="2" t="s">
        <v>2</v>
      </c>
      <c r="B199" s="2" t="s">
        <v>297</v>
      </c>
      <c r="C199" t="s">
        <v>263</v>
      </c>
    </row>
    <row r="200" spans="1:3" x14ac:dyDescent="0.2">
      <c r="A200" s="2" t="s">
        <v>2</v>
      </c>
      <c r="B200" s="2" t="s">
        <v>298</v>
      </c>
      <c r="C200" t="s">
        <v>263</v>
      </c>
    </row>
    <row r="201" spans="1:3" x14ac:dyDescent="0.2">
      <c r="A201" s="2" t="s">
        <v>2</v>
      </c>
      <c r="B201" s="2" t="s">
        <v>299</v>
      </c>
      <c r="C201" t="s">
        <v>263</v>
      </c>
    </row>
    <row r="202" spans="1:3" x14ac:dyDescent="0.2">
      <c r="A202" s="2" t="s">
        <v>2</v>
      </c>
      <c r="B202" s="2" t="s">
        <v>300</v>
      </c>
      <c r="C202" t="s">
        <v>263</v>
      </c>
    </row>
    <row r="203" spans="1:3" x14ac:dyDescent="0.2">
      <c r="A203" s="2" t="s">
        <v>2</v>
      </c>
      <c r="B203" s="2" t="s">
        <v>301</v>
      </c>
      <c r="C203" t="s">
        <v>263</v>
      </c>
    </row>
    <row r="204" spans="1:3" x14ac:dyDescent="0.2">
      <c r="A204" s="2" t="s">
        <v>2</v>
      </c>
      <c r="B204" s="2" t="s">
        <v>302</v>
      </c>
      <c r="C204" t="s">
        <v>263</v>
      </c>
    </row>
    <row r="205" spans="1:3" x14ac:dyDescent="0.2">
      <c r="A205" s="2" t="s">
        <v>2</v>
      </c>
      <c r="B205" s="2" t="s">
        <v>303</v>
      </c>
      <c r="C205" t="s">
        <v>263</v>
      </c>
    </row>
    <row r="206" spans="1:3" x14ac:dyDescent="0.2">
      <c r="A206" s="2" t="s">
        <v>2</v>
      </c>
      <c r="B206" s="2" t="s">
        <v>141</v>
      </c>
      <c r="C206" t="s">
        <v>263</v>
      </c>
    </row>
    <row r="207" spans="1:3" x14ac:dyDescent="0.2">
      <c r="A207" s="2" t="s">
        <v>2</v>
      </c>
      <c r="B207" s="2" t="s">
        <v>304</v>
      </c>
      <c r="C207" t="s">
        <v>263</v>
      </c>
    </row>
    <row r="208" spans="1:3" x14ac:dyDescent="0.2">
      <c r="A208" s="2" t="s">
        <v>2</v>
      </c>
      <c r="B208" s="2" t="s">
        <v>305</v>
      </c>
      <c r="C208" t="s">
        <v>263</v>
      </c>
    </row>
    <row r="209" spans="1:3" x14ac:dyDescent="0.2">
      <c r="A209" s="2" t="s">
        <v>2</v>
      </c>
      <c r="B209" s="2" t="s">
        <v>306</v>
      </c>
      <c r="C209" t="s">
        <v>263</v>
      </c>
    </row>
    <row r="210" spans="1:3" x14ac:dyDescent="0.2">
      <c r="A210" s="2" t="s">
        <v>2</v>
      </c>
      <c r="B210" s="2" t="s">
        <v>307</v>
      </c>
      <c r="C210" t="s">
        <v>263</v>
      </c>
    </row>
    <row r="211" spans="1:3" x14ac:dyDescent="0.2">
      <c r="A211" s="2" t="s">
        <v>2</v>
      </c>
      <c r="B211" s="2" t="s">
        <v>308</v>
      </c>
      <c r="C211" t="s">
        <v>263</v>
      </c>
    </row>
    <row r="212" spans="1:3" x14ac:dyDescent="0.2">
      <c r="A212" s="2" t="s">
        <v>2</v>
      </c>
      <c r="B212" s="2" t="s">
        <v>309</v>
      </c>
      <c r="C212" t="s">
        <v>263</v>
      </c>
    </row>
    <row r="213" spans="1:3" x14ac:dyDescent="0.2">
      <c r="A213" s="2" t="s">
        <v>2</v>
      </c>
      <c r="B213" s="2" t="s">
        <v>310</v>
      </c>
      <c r="C213" t="s">
        <v>263</v>
      </c>
    </row>
    <row r="214" spans="1:3" x14ac:dyDescent="0.2">
      <c r="A214" s="2" t="s">
        <v>2</v>
      </c>
      <c r="B214" s="2" t="s">
        <v>311</v>
      </c>
      <c r="C214" t="s">
        <v>263</v>
      </c>
    </row>
    <row r="215" spans="1:3" x14ac:dyDescent="0.2">
      <c r="A215" s="2" t="s">
        <v>2</v>
      </c>
      <c r="B215" s="2" t="s">
        <v>312</v>
      </c>
      <c r="C215" t="s">
        <v>263</v>
      </c>
    </row>
    <row r="216" spans="1:3" x14ac:dyDescent="0.2">
      <c r="A216" s="2" t="s">
        <v>2</v>
      </c>
      <c r="B216" s="2" t="s">
        <v>313</v>
      </c>
      <c r="C216" t="s">
        <v>276</v>
      </c>
    </row>
    <row r="217" spans="1:3" x14ac:dyDescent="0.2">
      <c r="A217" s="2" t="s">
        <v>2</v>
      </c>
      <c r="B217" s="2" t="s">
        <v>152</v>
      </c>
      <c r="C217" t="s">
        <v>263</v>
      </c>
    </row>
    <row r="218" spans="1:3" x14ac:dyDescent="0.2">
      <c r="A218" s="2" t="s">
        <v>2</v>
      </c>
      <c r="B218" s="2" t="s">
        <v>314</v>
      </c>
      <c r="C218" t="s">
        <v>276</v>
      </c>
    </row>
    <row r="219" spans="1:3" x14ac:dyDescent="0.2">
      <c r="A219" s="2" t="s">
        <v>2</v>
      </c>
      <c r="B219" s="2" t="s">
        <v>315</v>
      </c>
      <c r="C219" t="s">
        <v>263</v>
      </c>
    </row>
    <row r="220" spans="1:3" x14ac:dyDescent="0.2">
      <c r="A220" s="2" t="s">
        <v>2</v>
      </c>
      <c r="B220" s="2" t="s">
        <v>316</v>
      </c>
      <c r="C220" t="s">
        <v>263</v>
      </c>
    </row>
    <row r="221" spans="1:3" x14ac:dyDescent="0.2">
      <c r="A221" s="2" t="s">
        <v>2</v>
      </c>
      <c r="B221" s="2" t="s">
        <v>317</v>
      </c>
      <c r="C221" t="s">
        <v>263</v>
      </c>
    </row>
    <row r="222" spans="1:3" x14ac:dyDescent="0.2">
      <c r="A222" s="2" t="s">
        <v>2</v>
      </c>
      <c r="B222" s="2" t="s">
        <v>318</v>
      </c>
      <c r="C222" t="s">
        <v>263</v>
      </c>
    </row>
    <row r="223" spans="1:3" x14ac:dyDescent="0.2">
      <c r="A223" s="2" t="s">
        <v>2</v>
      </c>
      <c r="B223" s="2" t="s">
        <v>319</v>
      </c>
      <c r="C223" t="s">
        <v>263</v>
      </c>
    </row>
    <row r="224" spans="1:3" x14ac:dyDescent="0.2">
      <c r="A224" s="2" t="s">
        <v>2</v>
      </c>
      <c r="B224" s="2" t="s">
        <v>320</v>
      </c>
      <c r="C224" t="s">
        <v>263</v>
      </c>
    </row>
    <row r="225" spans="1:3" x14ac:dyDescent="0.2">
      <c r="A225" s="2" t="s">
        <v>2</v>
      </c>
      <c r="B225" s="2" t="s">
        <v>321</v>
      </c>
      <c r="C225" t="s">
        <v>263</v>
      </c>
    </row>
    <row r="226" spans="1:3" x14ac:dyDescent="0.2">
      <c r="A226" s="2" t="s">
        <v>2</v>
      </c>
      <c r="B226" s="2" t="s">
        <v>322</v>
      </c>
      <c r="C226" t="s">
        <v>263</v>
      </c>
    </row>
    <row r="227" spans="1:3" x14ac:dyDescent="0.2">
      <c r="A227" s="2" t="s">
        <v>2</v>
      </c>
      <c r="B227" s="2" t="s">
        <v>323</v>
      </c>
      <c r="C227" t="s">
        <v>263</v>
      </c>
    </row>
    <row r="228" spans="1:3" x14ac:dyDescent="0.2">
      <c r="A228" s="2" t="s">
        <v>2</v>
      </c>
      <c r="B228" s="2" t="s">
        <v>324</v>
      </c>
      <c r="C228" t="s">
        <v>263</v>
      </c>
    </row>
    <row r="229" spans="1:3" x14ac:dyDescent="0.2">
      <c r="A229" s="2" t="s">
        <v>2</v>
      </c>
      <c r="B229" s="2" t="s">
        <v>325</v>
      </c>
      <c r="C229" t="s">
        <v>263</v>
      </c>
    </row>
    <row r="230" spans="1:3" x14ac:dyDescent="0.2">
      <c r="A230" s="2" t="s">
        <v>2</v>
      </c>
      <c r="B230" s="2" t="s">
        <v>326</v>
      </c>
      <c r="C230" t="s">
        <v>263</v>
      </c>
    </row>
    <row r="231" spans="1:3" x14ac:dyDescent="0.2">
      <c r="A231" s="2" t="s">
        <v>2</v>
      </c>
      <c r="B231" s="2" t="s">
        <v>327</v>
      </c>
      <c r="C231" t="s">
        <v>263</v>
      </c>
    </row>
    <row r="232" spans="1:3" x14ac:dyDescent="0.2">
      <c r="A232" s="2" t="s">
        <v>2</v>
      </c>
      <c r="B232" s="2" t="s">
        <v>328</v>
      </c>
      <c r="C232" t="s">
        <v>263</v>
      </c>
    </row>
    <row r="233" spans="1:3" x14ac:dyDescent="0.2">
      <c r="A233" s="2" t="s">
        <v>2</v>
      </c>
      <c r="B233" s="2" t="s">
        <v>329</v>
      </c>
      <c r="C233" t="s">
        <v>263</v>
      </c>
    </row>
    <row r="234" spans="1:3" x14ac:dyDescent="0.2">
      <c r="A234" s="2" t="s">
        <v>2</v>
      </c>
      <c r="B234" s="2" t="s">
        <v>330</v>
      </c>
      <c r="C234" t="s">
        <v>263</v>
      </c>
    </row>
    <row r="235" spans="1:3" x14ac:dyDescent="0.2">
      <c r="A235" s="2" t="s">
        <v>2</v>
      </c>
      <c r="B235" s="2" t="s">
        <v>331</v>
      </c>
      <c r="C235" t="s">
        <v>263</v>
      </c>
    </row>
    <row r="236" spans="1:3" x14ac:dyDescent="0.2">
      <c r="A236" s="2" t="s">
        <v>2</v>
      </c>
      <c r="B236" s="2" t="s">
        <v>332</v>
      </c>
      <c r="C236" t="s">
        <v>263</v>
      </c>
    </row>
    <row r="237" spans="1:3" x14ac:dyDescent="0.2">
      <c r="A237" s="2" t="s">
        <v>2</v>
      </c>
      <c r="B237" s="2" t="s">
        <v>333</v>
      </c>
      <c r="C237" t="s">
        <v>263</v>
      </c>
    </row>
    <row r="238" spans="1:3" x14ac:dyDescent="0.2">
      <c r="A238" s="2" t="s">
        <v>2</v>
      </c>
      <c r="B238" s="2" t="s">
        <v>334</v>
      </c>
      <c r="C238" t="s">
        <v>263</v>
      </c>
    </row>
    <row r="239" spans="1:3" x14ac:dyDescent="0.2">
      <c r="A239" s="2" t="s">
        <v>2</v>
      </c>
      <c r="B239" s="2" t="s">
        <v>335</v>
      </c>
      <c r="C239" t="s">
        <v>263</v>
      </c>
    </row>
    <row r="240" spans="1:3" x14ac:dyDescent="0.2">
      <c r="A240" s="2" t="s">
        <v>2</v>
      </c>
      <c r="B240" s="2" t="s">
        <v>336</v>
      </c>
      <c r="C240" t="s">
        <v>263</v>
      </c>
    </row>
    <row r="241" spans="1:3" x14ac:dyDescent="0.2">
      <c r="A241" s="2" t="s">
        <v>2</v>
      </c>
      <c r="B241" s="2" t="s">
        <v>337</v>
      </c>
      <c r="C241" t="s">
        <v>338</v>
      </c>
    </row>
    <row r="242" spans="1:3" x14ac:dyDescent="0.2">
      <c r="A242" s="2" t="s">
        <v>2</v>
      </c>
      <c r="B242" s="2" t="s">
        <v>339</v>
      </c>
      <c r="C242" t="s">
        <v>263</v>
      </c>
    </row>
    <row r="243" spans="1:3" x14ac:dyDescent="0.2">
      <c r="A243" s="2" t="s">
        <v>2</v>
      </c>
      <c r="B243" s="2" t="s">
        <v>340</v>
      </c>
      <c r="C243" t="s">
        <v>276</v>
      </c>
    </row>
    <row r="244" spans="1:3" x14ac:dyDescent="0.2">
      <c r="A244" s="2" t="s">
        <v>2</v>
      </c>
      <c r="B244" s="2" t="s">
        <v>161</v>
      </c>
      <c r="C244" t="s">
        <v>263</v>
      </c>
    </row>
    <row r="245" spans="1:3" x14ac:dyDescent="0.2">
      <c r="A245" s="2" t="s">
        <v>2</v>
      </c>
      <c r="B245" s="2" t="s">
        <v>162</v>
      </c>
      <c r="C245" t="s">
        <v>263</v>
      </c>
    </row>
    <row r="246" spans="1:3" x14ac:dyDescent="0.2">
      <c r="A246" s="2" t="s">
        <v>2</v>
      </c>
      <c r="B246" s="2" t="s">
        <v>163</v>
      </c>
      <c r="C246" t="s">
        <v>263</v>
      </c>
    </row>
    <row r="247" spans="1:3" x14ac:dyDescent="0.2">
      <c r="A247" s="2" t="s">
        <v>2</v>
      </c>
      <c r="B247" s="2" t="s">
        <v>341</v>
      </c>
      <c r="C247" t="s">
        <v>263</v>
      </c>
    </row>
    <row r="248" spans="1:3" x14ac:dyDescent="0.2">
      <c r="A248" s="2" t="s">
        <v>2</v>
      </c>
      <c r="B248" s="2" t="s">
        <v>342</v>
      </c>
      <c r="C248" t="s">
        <v>263</v>
      </c>
    </row>
    <row r="249" spans="1:3" x14ac:dyDescent="0.2">
      <c r="A249" s="2" t="s">
        <v>2</v>
      </c>
      <c r="B249" s="2" t="s">
        <v>343</v>
      </c>
      <c r="C249" t="s">
        <v>263</v>
      </c>
    </row>
    <row r="250" spans="1:3" x14ac:dyDescent="0.2">
      <c r="A250" s="2" t="s">
        <v>2</v>
      </c>
      <c r="B250" s="2" t="s">
        <v>344</v>
      </c>
      <c r="C250" t="s">
        <v>263</v>
      </c>
    </row>
    <row r="251" spans="1:3" x14ac:dyDescent="0.2">
      <c r="A251" s="2" t="s">
        <v>2</v>
      </c>
      <c r="B251" s="2" t="s">
        <v>345</v>
      </c>
      <c r="C251" t="s">
        <v>263</v>
      </c>
    </row>
    <row r="252" spans="1:3" x14ac:dyDescent="0.2">
      <c r="A252" s="2" t="s">
        <v>2</v>
      </c>
      <c r="B252" s="2" t="s">
        <v>346</v>
      </c>
      <c r="C252" t="s">
        <v>263</v>
      </c>
    </row>
    <row r="253" spans="1:3" x14ac:dyDescent="0.2">
      <c r="A253" s="2" t="s">
        <v>2</v>
      </c>
      <c r="B253" s="2" t="s">
        <v>347</v>
      </c>
      <c r="C253" t="s">
        <v>263</v>
      </c>
    </row>
    <row r="254" spans="1:3" x14ac:dyDescent="0.2">
      <c r="A254" s="2" t="s">
        <v>2</v>
      </c>
      <c r="B254" s="2" t="s">
        <v>348</v>
      </c>
      <c r="C254" t="s">
        <v>276</v>
      </c>
    </row>
    <row r="255" spans="1:3" x14ac:dyDescent="0.2">
      <c r="A255" s="2" t="s">
        <v>2</v>
      </c>
      <c r="B255" s="2" t="s">
        <v>349</v>
      </c>
      <c r="C255" t="s">
        <v>263</v>
      </c>
    </row>
    <row r="256" spans="1:3" x14ac:dyDescent="0.2">
      <c r="A256" s="2" t="s">
        <v>2</v>
      </c>
      <c r="B256" s="2" t="s">
        <v>350</v>
      </c>
      <c r="C256" t="s">
        <v>263</v>
      </c>
    </row>
    <row r="257" spans="1:3" x14ac:dyDescent="0.2">
      <c r="A257" s="2" t="s">
        <v>2</v>
      </c>
      <c r="B257" s="2" t="s">
        <v>351</v>
      </c>
      <c r="C257" t="s">
        <v>263</v>
      </c>
    </row>
    <row r="258" spans="1:3" x14ac:dyDescent="0.2">
      <c r="A258" s="2" t="s">
        <v>2</v>
      </c>
      <c r="B258" s="2" t="s">
        <v>352</v>
      </c>
      <c r="C258" t="s">
        <v>276</v>
      </c>
    </row>
    <row r="259" spans="1:3" x14ac:dyDescent="0.2">
      <c r="A259" s="2" t="s">
        <v>2</v>
      </c>
      <c r="B259" s="2" t="s">
        <v>353</v>
      </c>
      <c r="C259" t="s">
        <v>263</v>
      </c>
    </row>
    <row r="260" spans="1:3" x14ac:dyDescent="0.2">
      <c r="A260" s="2" t="s">
        <v>2</v>
      </c>
      <c r="B260" s="2" t="s">
        <v>354</v>
      </c>
      <c r="C260" t="s">
        <v>263</v>
      </c>
    </row>
    <row r="261" spans="1:3" x14ac:dyDescent="0.2">
      <c r="A261" s="2" t="s">
        <v>2</v>
      </c>
      <c r="B261" s="2" t="s">
        <v>355</v>
      </c>
      <c r="C261" t="s">
        <v>276</v>
      </c>
    </row>
    <row r="262" spans="1:3" x14ac:dyDescent="0.2">
      <c r="A262" s="2" t="s">
        <v>2</v>
      </c>
      <c r="B262" s="2" t="s">
        <v>356</v>
      </c>
      <c r="C262" t="s">
        <v>263</v>
      </c>
    </row>
    <row r="263" spans="1:3" x14ac:dyDescent="0.2">
      <c r="A263" s="2" t="s">
        <v>2</v>
      </c>
      <c r="B263" s="2" t="s">
        <v>357</v>
      </c>
      <c r="C263" t="s">
        <v>276</v>
      </c>
    </row>
    <row r="264" spans="1:3" x14ac:dyDescent="0.2">
      <c r="A264" s="2" t="s">
        <v>2</v>
      </c>
      <c r="B264" s="2" t="s">
        <v>358</v>
      </c>
      <c r="C264" t="s">
        <v>263</v>
      </c>
    </row>
    <row r="265" spans="1:3" x14ac:dyDescent="0.2">
      <c r="A265" s="2" t="s">
        <v>2</v>
      </c>
      <c r="B265" s="2" t="s">
        <v>359</v>
      </c>
      <c r="C265" t="s">
        <v>276</v>
      </c>
    </row>
    <row r="266" spans="1:3" x14ac:dyDescent="0.2">
      <c r="A266" s="2" t="s">
        <v>2</v>
      </c>
      <c r="B266" s="2" t="s">
        <v>360</v>
      </c>
      <c r="C266" t="s">
        <v>263</v>
      </c>
    </row>
    <row r="267" spans="1:3" x14ac:dyDescent="0.2">
      <c r="A267" s="2" t="s">
        <v>2</v>
      </c>
      <c r="B267" s="2" t="s">
        <v>361</v>
      </c>
      <c r="C267" t="s">
        <v>276</v>
      </c>
    </row>
    <row r="268" spans="1:3" x14ac:dyDescent="0.2">
      <c r="A268" s="2" t="s">
        <v>2</v>
      </c>
      <c r="B268" s="2" t="s">
        <v>362</v>
      </c>
      <c r="C268" t="s">
        <v>263</v>
      </c>
    </row>
    <row r="269" spans="1:3" x14ac:dyDescent="0.2">
      <c r="A269" s="2" t="s">
        <v>2</v>
      </c>
      <c r="B269" s="2" t="s">
        <v>363</v>
      </c>
      <c r="C269" t="s">
        <v>276</v>
      </c>
    </row>
    <row r="270" spans="1:3" x14ac:dyDescent="0.2">
      <c r="A270" s="2" t="s">
        <v>2</v>
      </c>
      <c r="B270" s="2" t="s">
        <v>364</v>
      </c>
      <c r="C270" t="s">
        <v>263</v>
      </c>
    </row>
    <row r="271" spans="1:3" x14ac:dyDescent="0.2">
      <c r="A271" s="2" t="s">
        <v>2</v>
      </c>
      <c r="B271" s="2" t="s">
        <v>365</v>
      </c>
      <c r="C271" t="s">
        <v>276</v>
      </c>
    </row>
    <row r="272" spans="1:3" x14ac:dyDescent="0.2">
      <c r="A272" s="2" t="s">
        <v>2</v>
      </c>
      <c r="B272" s="2" t="s">
        <v>366</v>
      </c>
      <c r="C272" t="s">
        <v>263</v>
      </c>
    </row>
    <row r="273" spans="1:3" x14ac:dyDescent="0.2">
      <c r="A273" s="2" t="s">
        <v>2</v>
      </c>
      <c r="B273" s="2" t="s">
        <v>367</v>
      </c>
      <c r="C273" t="s">
        <v>263</v>
      </c>
    </row>
    <row r="274" spans="1:3" x14ac:dyDescent="0.2">
      <c r="A274" s="2" t="s">
        <v>2</v>
      </c>
      <c r="B274" s="2" t="s">
        <v>368</v>
      </c>
      <c r="C274" t="s">
        <v>263</v>
      </c>
    </row>
    <row r="275" spans="1:3" x14ac:dyDescent="0.2">
      <c r="A275" s="2" t="s">
        <v>2</v>
      </c>
      <c r="B275" s="2" t="s">
        <v>369</v>
      </c>
      <c r="C275" t="s">
        <v>263</v>
      </c>
    </row>
    <row r="276" spans="1:3" x14ac:dyDescent="0.2">
      <c r="A276" s="2" t="s">
        <v>2</v>
      </c>
      <c r="B276" s="2" t="s">
        <v>370</v>
      </c>
      <c r="C276" t="s">
        <v>263</v>
      </c>
    </row>
    <row r="277" spans="1:3" x14ac:dyDescent="0.2">
      <c r="A277" s="2" t="s">
        <v>2</v>
      </c>
      <c r="B277" s="2" t="s">
        <v>371</v>
      </c>
      <c r="C277" t="s">
        <v>263</v>
      </c>
    </row>
    <row r="278" spans="1:3" x14ac:dyDescent="0.2">
      <c r="A278" s="2" t="s">
        <v>2</v>
      </c>
      <c r="B278" s="2" t="s">
        <v>372</v>
      </c>
      <c r="C278" t="s">
        <v>263</v>
      </c>
    </row>
    <row r="279" spans="1:3" x14ac:dyDescent="0.2">
      <c r="A279" s="2" t="s">
        <v>2</v>
      </c>
      <c r="B279" s="2" t="s">
        <v>373</v>
      </c>
      <c r="C279" t="s">
        <v>374</v>
      </c>
    </row>
    <row r="280" spans="1:3" x14ac:dyDescent="0.2">
      <c r="A280" s="2" t="s">
        <v>2</v>
      </c>
      <c r="B280" s="2" t="s">
        <v>375</v>
      </c>
      <c r="C280" t="s">
        <v>374</v>
      </c>
    </row>
    <row r="281" spans="1:3" x14ac:dyDescent="0.2">
      <c r="A281" s="2" t="s">
        <v>2</v>
      </c>
      <c r="B281" s="2" t="s">
        <v>376</v>
      </c>
      <c r="C281" t="s">
        <v>263</v>
      </c>
    </row>
    <row r="282" spans="1:3" x14ac:dyDescent="0.2">
      <c r="A282" s="2" t="s">
        <v>2</v>
      </c>
      <c r="B282" s="2" t="s">
        <v>377</v>
      </c>
      <c r="C282" t="s">
        <v>374</v>
      </c>
    </row>
    <row r="283" spans="1:3" x14ac:dyDescent="0.2">
      <c r="A283" s="2" t="s">
        <v>2</v>
      </c>
      <c r="B283" s="2" t="s">
        <v>378</v>
      </c>
      <c r="C283" t="s">
        <v>276</v>
      </c>
    </row>
    <row r="284" spans="1:3" x14ac:dyDescent="0.2">
      <c r="A284" s="2" t="s">
        <v>2</v>
      </c>
      <c r="B284" s="2" t="s">
        <v>379</v>
      </c>
      <c r="C284" t="s">
        <v>338</v>
      </c>
    </row>
    <row r="285" spans="1:3" x14ac:dyDescent="0.2">
      <c r="A285" s="2" t="s">
        <v>2</v>
      </c>
      <c r="B285" s="2" t="s">
        <v>380</v>
      </c>
      <c r="C285" t="s">
        <v>374</v>
      </c>
    </row>
    <row r="286" spans="1:3" x14ac:dyDescent="0.2">
      <c r="A286" s="2" t="s">
        <v>2</v>
      </c>
      <c r="B286" s="2" t="s">
        <v>381</v>
      </c>
      <c r="C286" t="s">
        <v>374</v>
      </c>
    </row>
    <row r="287" spans="1:3" x14ac:dyDescent="0.2">
      <c r="A287" s="2" t="s">
        <v>2</v>
      </c>
      <c r="B287" s="2" t="s">
        <v>382</v>
      </c>
      <c r="C287" t="s">
        <v>263</v>
      </c>
    </row>
    <row r="288" spans="1:3" x14ac:dyDescent="0.2">
      <c r="A288" s="2" t="s">
        <v>2</v>
      </c>
      <c r="B288" s="2" t="s">
        <v>383</v>
      </c>
      <c r="C288" t="s">
        <v>263</v>
      </c>
    </row>
    <row r="289" spans="1:3" x14ac:dyDescent="0.2">
      <c r="A289" s="2" t="s">
        <v>2</v>
      </c>
      <c r="B289" s="2" t="s">
        <v>384</v>
      </c>
      <c r="C289" t="s">
        <v>263</v>
      </c>
    </row>
    <row r="290" spans="1:3" x14ac:dyDescent="0.2">
      <c r="A290" s="2" t="s">
        <v>2</v>
      </c>
      <c r="B290" s="2" t="s">
        <v>385</v>
      </c>
      <c r="C290" t="s">
        <v>263</v>
      </c>
    </row>
    <row r="291" spans="1:3" x14ac:dyDescent="0.2">
      <c r="A291" s="2" t="s">
        <v>2</v>
      </c>
      <c r="B291" s="2" t="s">
        <v>386</v>
      </c>
      <c r="C291" t="s">
        <v>263</v>
      </c>
    </row>
    <row r="292" spans="1:3" x14ac:dyDescent="0.2">
      <c r="A292" s="2" t="s">
        <v>2</v>
      </c>
      <c r="B292" s="2" t="s">
        <v>387</v>
      </c>
      <c r="C292" t="s">
        <v>374</v>
      </c>
    </row>
    <row r="293" spans="1:3" x14ac:dyDescent="0.2">
      <c r="A293" s="2" t="s">
        <v>2</v>
      </c>
      <c r="B293" s="2" t="s">
        <v>388</v>
      </c>
      <c r="C293" t="s">
        <v>338</v>
      </c>
    </row>
    <row r="294" spans="1:3" x14ac:dyDescent="0.2">
      <c r="A294" s="2" t="s">
        <v>2</v>
      </c>
      <c r="B294" s="2" t="s">
        <v>389</v>
      </c>
      <c r="C294" t="s">
        <v>374</v>
      </c>
    </row>
    <row r="295" spans="1:3" x14ac:dyDescent="0.2">
      <c r="A295" s="2" t="s">
        <v>2</v>
      </c>
      <c r="B295" s="2" t="s">
        <v>390</v>
      </c>
      <c r="C295" t="s">
        <v>374</v>
      </c>
    </row>
    <row r="296" spans="1:3" x14ac:dyDescent="0.2">
      <c r="A296" s="2" t="s">
        <v>2</v>
      </c>
      <c r="B296" s="2" t="s">
        <v>391</v>
      </c>
      <c r="C296" t="s">
        <v>276</v>
      </c>
    </row>
    <row r="297" spans="1:3" x14ac:dyDescent="0.2">
      <c r="A297" s="2" t="s">
        <v>2</v>
      </c>
      <c r="B297" s="2" t="s">
        <v>392</v>
      </c>
      <c r="C297" t="s">
        <v>374</v>
      </c>
    </row>
    <row r="298" spans="1:3" x14ac:dyDescent="0.2">
      <c r="A298" s="2" t="s">
        <v>2</v>
      </c>
      <c r="B298" s="2" t="s">
        <v>393</v>
      </c>
      <c r="C298" t="s">
        <v>374</v>
      </c>
    </row>
    <row r="299" spans="1:3" x14ac:dyDescent="0.2">
      <c r="A299" s="2" t="s">
        <v>2</v>
      </c>
      <c r="B299" s="2" t="s">
        <v>394</v>
      </c>
      <c r="C299" t="s">
        <v>374</v>
      </c>
    </row>
    <row r="300" spans="1:3" x14ac:dyDescent="0.2">
      <c r="A300" s="2" t="s">
        <v>2</v>
      </c>
      <c r="B300" s="2" t="s">
        <v>395</v>
      </c>
      <c r="C300" t="s">
        <v>374</v>
      </c>
    </row>
    <row r="301" spans="1:3" x14ac:dyDescent="0.2">
      <c r="A301" s="2" t="s">
        <v>2</v>
      </c>
      <c r="B301" s="2" t="s">
        <v>396</v>
      </c>
      <c r="C301" t="s">
        <v>374</v>
      </c>
    </row>
    <row r="302" spans="1:3" x14ac:dyDescent="0.2">
      <c r="A302" s="2" t="s">
        <v>2</v>
      </c>
      <c r="B302" s="2" t="s">
        <v>397</v>
      </c>
      <c r="C302" t="s">
        <v>374</v>
      </c>
    </row>
    <row r="303" spans="1:3" x14ac:dyDescent="0.2">
      <c r="A303" s="2" t="s">
        <v>2</v>
      </c>
      <c r="B303" s="2" t="s">
        <v>398</v>
      </c>
      <c r="C303" t="s">
        <v>374</v>
      </c>
    </row>
    <row r="304" spans="1:3" x14ac:dyDescent="0.2">
      <c r="A304" s="2" t="s">
        <v>2</v>
      </c>
      <c r="B304" s="2" t="s">
        <v>399</v>
      </c>
      <c r="C304" t="s">
        <v>374</v>
      </c>
    </row>
    <row r="305" spans="1:3" x14ac:dyDescent="0.2">
      <c r="A305" s="2" t="s">
        <v>2</v>
      </c>
      <c r="B305" s="2" t="s">
        <v>400</v>
      </c>
      <c r="C305" t="s">
        <v>374</v>
      </c>
    </row>
    <row r="306" spans="1:3" x14ac:dyDescent="0.2">
      <c r="A306" s="2" t="s">
        <v>2</v>
      </c>
      <c r="B306" s="2" t="s">
        <v>401</v>
      </c>
      <c r="C306" t="s">
        <v>374</v>
      </c>
    </row>
    <row r="307" spans="1:3" x14ac:dyDescent="0.2">
      <c r="A307" s="2" t="s">
        <v>2</v>
      </c>
      <c r="B307" s="2" t="s">
        <v>402</v>
      </c>
      <c r="C307" t="s">
        <v>374</v>
      </c>
    </row>
    <row r="308" spans="1:3" x14ac:dyDescent="0.2">
      <c r="A308" s="2" t="s">
        <v>2</v>
      </c>
      <c r="B308" s="2" t="s">
        <v>403</v>
      </c>
      <c r="C308" t="s">
        <v>374</v>
      </c>
    </row>
    <row r="309" spans="1:3" x14ac:dyDescent="0.2">
      <c r="A309" s="2" t="s">
        <v>2</v>
      </c>
      <c r="B309" s="2" t="s">
        <v>404</v>
      </c>
      <c r="C309" t="s">
        <v>374</v>
      </c>
    </row>
    <row r="310" spans="1:3" x14ac:dyDescent="0.2">
      <c r="A310" s="2" t="s">
        <v>2</v>
      </c>
      <c r="B310" s="2" t="s">
        <v>405</v>
      </c>
      <c r="C310" t="s">
        <v>374</v>
      </c>
    </row>
    <row r="311" spans="1:3" x14ac:dyDescent="0.2">
      <c r="A311" s="2" t="s">
        <v>2</v>
      </c>
      <c r="B311" s="2" t="s">
        <v>406</v>
      </c>
      <c r="C311" t="s">
        <v>374</v>
      </c>
    </row>
    <row r="312" spans="1:3" x14ac:dyDescent="0.2">
      <c r="A312" s="2" t="s">
        <v>2</v>
      </c>
      <c r="B312" s="2" t="s">
        <v>407</v>
      </c>
      <c r="C312" t="s">
        <v>374</v>
      </c>
    </row>
    <row r="313" spans="1:3" x14ac:dyDescent="0.2">
      <c r="A313" s="2" t="s">
        <v>2</v>
      </c>
      <c r="B313" s="2" t="s">
        <v>408</v>
      </c>
      <c r="C313" t="s">
        <v>374</v>
      </c>
    </row>
    <row r="314" spans="1:3" x14ac:dyDescent="0.2">
      <c r="A314" s="2" t="s">
        <v>2</v>
      </c>
      <c r="B314" s="2" t="s">
        <v>409</v>
      </c>
      <c r="C314" t="s">
        <v>374</v>
      </c>
    </row>
    <row r="315" spans="1:3" x14ac:dyDescent="0.2">
      <c r="A315" s="2" t="s">
        <v>2</v>
      </c>
      <c r="B315" s="2" t="s">
        <v>410</v>
      </c>
      <c r="C315" t="s">
        <v>374</v>
      </c>
    </row>
    <row r="316" spans="1:3" x14ac:dyDescent="0.2">
      <c r="A316" s="2" t="s">
        <v>2</v>
      </c>
      <c r="B316" s="2" t="s">
        <v>411</v>
      </c>
      <c r="C316" t="s">
        <v>374</v>
      </c>
    </row>
    <row r="317" spans="1:3" x14ac:dyDescent="0.2">
      <c r="A317" s="2" t="s">
        <v>2</v>
      </c>
      <c r="B317" s="2" t="s">
        <v>412</v>
      </c>
      <c r="C317" t="s">
        <v>374</v>
      </c>
    </row>
    <row r="318" spans="1:3" x14ac:dyDescent="0.2">
      <c r="A318" s="2" t="s">
        <v>2</v>
      </c>
      <c r="B318" s="2" t="s">
        <v>413</v>
      </c>
      <c r="C318" t="s">
        <v>374</v>
      </c>
    </row>
    <row r="319" spans="1:3" x14ac:dyDescent="0.2">
      <c r="A319" s="2" t="s">
        <v>2</v>
      </c>
      <c r="B319" s="2" t="s">
        <v>414</v>
      </c>
      <c r="C319" t="s">
        <v>374</v>
      </c>
    </row>
    <row r="320" spans="1:3" x14ac:dyDescent="0.2">
      <c r="A320" s="2" t="s">
        <v>2</v>
      </c>
      <c r="B320" s="2" t="s">
        <v>415</v>
      </c>
      <c r="C320" t="s">
        <v>374</v>
      </c>
    </row>
    <row r="321" spans="1:3" x14ac:dyDescent="0.2">
      <c r="A321" s="2" t="s">
        <v>2</v>
      </c>
      <c r="B321" s="2" t="s">
        <v>416</v>
      </c>
      <c r="C321" t="s">
        <v>276</v>
      </c>
    </row>
    <row r="322" spans="1:3" x14ac:dyDescent="0.2">
      <c r="A322" s="2" t="s">
        <v>2</v>
      </c>
      <c r="B322" s="2" t="s">
        <v>417</v>
      </c>
      <c r="C322" t="s">
        <v>276</v>
      </c>
    </row>
    <row r="323" spans="1:3" x14ac:dyDescent="0.2">
      <c r="A323" s="2" t="s">
        <v>2</v>
      </c>
      <c r="B323" s="2" t="s">
        <v>418</v>
      </c>
      <c r="C323" t="s">
        <v>276</v>
      </c>
    </row>
    <row r="324" spans="1:3" x14ac:dyDescent="0.2">
      <c r="A324" s="2" t="s">
        <v>2</v>
      </c>
      <c r="B324" s="2" t="s">
        <v>419</v>
      </c>
      <c r="C324" t="s">
        <v>276</v>
      </c>
    </row>
    <row r="325" spans="1:3" x14ac:dyDescent="0.2">
      <c r="A325" s="2" t="s">
        <v>2</v>
      </c>
      <c r="B325" s="2" t="s">
        <v>420</v>
      </c>
      <c r="C325" t="s">
        <v>276</v>
      </c>
    </row>
    <row r="326" spans="1:3" x14ac:dyDescent="0.2">
      <c r="A326" s="2" t="s">
        <v>2</v>
      </c>
      <c r="B326" s="2" t="s">
        <v>421</v>
      </c>
      <c r="C326" t="s">
        <v>276</v>
      </c>
    </row>
    <row r="327" spans="1:3" x14ac:dyDescent="0.2">
      <c r="A327" s="2" t="s">
        <v>2</v>
      </c>
      <c r="B327" s="2" t="s">
        <v>422</v>
      </c>
      <c r="C327" t="s">
        <v>276</v>
      </c>
    </row>
    <row r="328" spans="1:3" x14ac:dyDescent="0.2">
      <c r="A328" s="2" t="s">
        <v>2</v>
      </c>
      <c r="B328" s="2" t="s">
        <v>423</v>
      </c>
      <c r="C328" t="s">
        <v>276</v>
      </c>
    </row>
    <row r="329" spans="1:3" x14ac:dyDescent="0.2">
      <c r="A329" s="2" t="s">
        <v>2</v>
      </c>
      <c r="B329" s="2" t="s">
        <v>424</v>
      </c>
      <c r="C329" t="s">
        <v>276</v>
      </c>
    </row>
    <row r="330" spans="1:3" x14ac:dyDescent="0.2">
      <c r="A330" s="2" t="s">
        <v>2</v>
      </c>
      <c r="B330" s="2" t="s">
        <v>425</v>
      </c>
      <c r="C330" t="s">
        <v>276</v>
      </c>
    </row>
    <row r="331" spans="1:3" x14ac:dyDescent="0.2">
      <c r="A331" s="2" t="s">
        <v>2</v>
      </c>
      <c r="B331" s="2" t="s">
        <v>426</v>
      </c>
      <c r="C331" t="s">
        <v>276</v>
      </c>
    </row>
    <row r="332" spans="1:3" x14ac:dyDescent="0.2">
      <c r="A332" s="2" t="s">
        <v>2</v>
      </c>
      <c r="B332" s="2" t="s">
        <v>427</v>
      </c>
      <c r="C332" t="s">
        <v>276</v>
      </c>
    </row>
    <row r="333" spans="1:3" x14ac:dyDescent="0.2">
      <c r="A333" s="2" t="s">
        <v>2</v>
      </c>
      <c r="B333" s="2" t="s">
        <v>428</v>
      </c>
      <c r="C333" t="s">
        <v>276</v>
      </c>
    </row>
    <row r="334" spans="1:3" x14ac:dyDescent="0.2">
      <c r="A334" s="2" t="s">
        <v>2</v>
      </c>
      <c r="B334" s="2" t="s">
        <v>429</v>
      </c>
      <c r="C334" t="s">
        <v>276</v>
      </c>
    </row>
    <row r="335" spans="1:3" x14ac:dyDescent="0.2">
      <c r="A335" s="2" t="s">
        <v>2</v>
      </c>
      <c r="B335" s="2" t="s">
        <v>430</v>
      </c>
      <c r="C335" t="s">
        <v>276</v>
      </c>
    </row>
    <row r="336" spans="1:3" x14ac:dyDescent="0.2">
      <c r="A336" s="2" t="s">
        <v>2</v>
      </c>
      <c r="B336" s="2" t="s">
        <v>431</v>
      </c>
      <c r="C336" t="s">
        <v>276</v>
      </c>
    </row>
    <row r="337" spans="1:3" x14ac:dyDescent="0.2">
      <c r="A337" s="2" t="s">
        <v>2</v>
      </c>
      <c r="B337" s="2" t="s">
        <v>432</v>
      </c>
      <c r="C337" t="s">
        <v>276</v>
      </c>
    </row>
    <row r="338" spans="1:3" x14ac:dyDescent="0.2">
      <c r="A338" s="2" t="s">
        <v>2</v>
      </c>
      <c r="B338" s="2" t="s">
        <v>433</v>
      </c>
      <c r="C338" t="s">
        <v>276</v>
      </c>
    </row>
    <row r="339" spans="1:3" x14ac:dyDescent="0.2">
      <c r="A339" s="2" t="s">
        <v>2</v>
      </c>
      <c r="B339" s="2" t="s">
        <v>434</v>
      </c>
      <c r="C339" t="s">
        <v>276</v>
      </c>
    </row>
    <row r="340" spans="1:3" x14ac:dyDescent="0.2">
      <c r="A340" s="2" t="s">
        <v>2</v>
      </c>
      <c r="B340" s="2" t="s">
        <v>435</v>
      </c>
      <c r="C340" t="s">
        <v>276</v>
      </c>
    </row>
    <row r="341" spans="1:3" x14ac:dyDescent="0.2">
      <c r="A341" s="2" t="s">
        <v>2</v>
      </c>
      <c r="B341" s="2" t="s">
        <v>436</v>
      </c>
      <c r="C341" t="s">
        <v>374</v>
      </c>
    </row>
    <row r="342" spans="1:3" x14ac:dyDescent="0.2">
      <c r="A342" s="2" t="s">
        <v>2</v>
      </c>
      <c r="B342" s="2" t="s">
        <v>437</v>
      </c>
      <c r="C342" t="s">
        <v>374</v>
      </c>
    </row>
    <row r="343" spans="1:3" x14ac:dyDescent="0.2">
      <c r="A343" s="2" t="s">
        <v>2</v>
      </c>
      <c r="B343" s="2" t="s">
        <v>438</v>
      </c>
      <c r="C343" t="s">
        <v>374</v>
      </c>
    </row>
    <row r="344" spans="1:3" x14ac:dyDescent="0.2">
      <c r="A344" s="2" t="s">
        <v>2</v>
      </c>
      <c r="B344" s="2" t="s">
        <v>260</v>
      </c>
      <c r="C344" t="s">
        <v>374</v>
      </c>
    </row>
    <row r="345" spans="1:3" x14ac:dyDescent="0.2">
      <c r="A345" s="2" t="s">
        <v>2</v>
      </c>
      <c r="B345" s="2" t="s">
        <v>261</v>
      </c>
      <c r="C345" t="s">
        <v>374</v>
      </c>
    </row>
    <row r="346" spans="1:3" x14ac:dyDescent="0.2">
      <c r="A346" s="2" t="s">
        <v>439</v>
      </c>
      <c r="B346" s="2" t="s">
        <v>101</v>
      </c>
      <c r="C346" t="s">
        <v>101</v>
      </c>
    </row>
    <row r="347" spans="1:3" x14ac:dyDescent="0.2">
      <c r="A347" s="2" t="s">
        <v>439</v>
      </c>
      <c r="B347" s="2" t="s">
        <v>440</v>
      </c>
      <c r="C347" t="s">
        <v>374</v>
      </c>
    </row>
    <row r="348" spans="1:3" x14ac:dyDescent="0.2">
      <c r="A348" s="2" t="s">
        <v>439</v>
      </c>
      <c r="B348" s="2" t="s">
        <v>441</v>
      </c>
      <c r="C348" t="s">
        <v>374</v>
      </c>
    </row>
    <row r="349" spans="1:3" x14ac:dyDescent="0.2">
      <c r="A349" s="2" t="s">
        <v>439</v>
      </c>
      <c r="B349" s="2" t="s">
        <v>442</v>
      </c>
      <c r="C349" t="s">
        <v>374</v>
      </c>
    </row>
    <row r="350" spans="1:3" x14ac:dyDescent="0.2">
      <c r="A350" s="2" t="s">
        <v>439</v>
      </c>
      <c r="B350" s="2" t="s">
        <v>443</v>
      </c>
      <c r="C350" t="s">
        <v>374</v>
      </c>
    </row>
    <row r="351" spans="1:3" x14ac:dyDescent="0.2">
      <c r="A351" s="2" t="s">
        <v>439</v>
      </c>
      <c r="B351" s="2" t="s">
        <v>444</v>
      </c>
      <c r="C351" t="s">
        <v>374</v>
      </c>
    </row>
    <row r="352" spans="1:3" x14ac:dyDescent="0.2">
      <c r="A352" s="2" t="s">
        <v>439</v>
      </c>
      <c r="B352" s="2" t="s">
        <v>445</v>
      </c>
      <c r="C352" t="s">
        <v>374</v>
      </c>
    </row>
    <row r="353" spans="1:3" x14ac:dyDescent="0.2">
      <c r="A353" s="2" t="s">
        <v>439</v>
      </c>
      <c r="B353" s="2" t="s">
        <v>446</v>
      </c>
      <c r="C353" t="s">
        <v>374</v>
      </c>
    </row>
    <row r="354" spans="1:3" x14ac:dyDescent="0.2">
      <c r="A354" s="2" t="s">
        <v>447</v>
      </c>
      <c r="B354" s="2" t="s">
        <v>448</v>
      </c>
      <c r="C354" t="s">
        <v>449</v>
      </c>
    </row>
    <row r="355" spans="1:3" x14ac:dyDescent="0.2">
      <c r="A355" s="2" t="s">
        <v>447</v>
      </c>
      <c r="B355" s="2" t="s">
        <v>450</v>
      </c>
      <c r="C355" t="s">
        <v>449</v>
      </c>
    </row>
    <row r="356" spans="1:3" x14ac:dyDescent="0.2">
      <c r="A356" s="2" t="s">
        <v>447</v>
      </c>
      <c r="B356" s="2" t="s">
        <v>451</v>
      </c>
      <c r="C356" t="s">
        <v>449</v>
      </c>
    </row>
    <row r="357" spans="1:3" x14ac:dyDescent="0.2">
      <c r="A357" s="2" t="s">
        <v>447</v>
      </c>
      <c r="B357" s="2" t="s">
        <v>452</v>
      </c>
      <c r="C357" t="s">
        <v>449</v>
      </c>
    </row>
    <row r="358" spans="1:3" x14ac:dyDescent="0.2">
      <c r="A358" s="2" t="s">
        <v>447</v>
      </c>
      <c r="B358" s="2" t="s">
        <v>280</v>
      </c>
      <c r="C358" t="s">
        <v>449</v>
      </c>
    </row>
    <row r="359" spans="1:3" x14ac:dyDescent="0.2">
      <c r="A359" s="2" t="s">
        <v>447</v>
      </c>
      <c r="B359" s="2" t="s">
        <v>453</v>
      </c>
      <c r="C359" t="s">
        <v>449</v>
      </c>
    </row>
    <row r="360" spans="1:3" x14ac:dyDescent="0.2">
      <c r="A360" s="2" t="s">
        <v>447</v>
      </c>
      <c r="B360" s="2" t="s">
        <v>454</v>
      </c>
      <c r="C360" t="s">
        <v>449</v>
      </c>
    </row>
    <row r="361" spans="1:3" x14ac:dyDescent="0.2">
      <c r="A361" s="2" t="s">
        <v>447</v>
      </c>
      <c r="B361" s="2" t="s">
        <v>455</v>
      </c>
      <c r="C361" t="s">
        <v>449</v>
      </c>
    </row>
    <row r="362" spans="1:3" x14ac:dyDescent="0.2">
      <c r="A362" s="2" t="s">
        <v>447</v>
      </c>
      <c r="B362" s="2" t="s">
        <v>456</v>
      </c>
      <c r="C362" t="s">
        <v>449</v>
      </c>
    </row>
    <row r="363" spans="1:3" x14ac:dyDescent="0.2">
      <c r="A363" s="2" t="s">
        <v>447</v>
      </c>
      <c r="B363" s="2" t="s">
        <v>457</v>
      </c>
      <c r="C363" t="s">
        <v>458</v>
      </c>
    </row>
    <row r="364" spans="1:3" x14ac:dyDescent="0.2">
      <c r="A364" s="2" t="s">
        <v>447</v>
      </c>
      <c r="B364" s="2" t="s">
        <v>459</v>
      </c>
      <c r="C364" t="s">
        <v>458</v>
      </c>
    </row>
    <row r="365" spans="1:3" x14ac:dyDescent="0.2">
      <c r="A365" s="2" t="s">
        <v>447</v>
      </c>
      <c r="B365" s="2" t="s">
        <v>460</v>
      </c>
      <c r="C365" t="s">
        <v>458</v>
      </c>
    </row>
    <row r="366" spans="1:3" x14ac:dyDescent="0.2">
      <c r="A366" s="2" t="s">
        <v>447</v>
      </c>
      <c r="B366" s="2" t="s">
        <v>461</v>
      </c>
      <c r="C366" t="s">
        <v>462</v>
      </c>
    </row>
    <row r="367" spans="1:3" x14ac:dyDescent="0.2">
      <c r="A367" s="2" t="s">
        <v>447</v>
      </c>
      <c r="B367" s="2" t="s">
        <v>463</v>
      </c>
      <c r="C367" t="s">
        <v>462</v>
      </c>
    </row>
    <row r="368" spans="1:3" x14ac:dyDescent="0.2">
      <c r="A368" s="2" t="s">
        <v>447</v>
      </c>
      <c r="B368" s="2" t="s">
        <v>464</v>
      </c>
      <c r="C368" t="s">
        <v>462</v>
      </c>
    </row>
    <row r="369" spans="1:3" x14ac:dyDescent="0.2">
      <c r="A369" s="2" t="s">
        <v>447</v>
      </c>
      <c r="B369" s="2" t="s">
        <v>465</v>
      </c>
      <c r="C369" t="s">
        <v>462</v>
      </c>
    </row>
    <row r="370" spans="1:3" x14ac:dyDescent="0.2">
      <c r="A370" s="2" t="s">
        <v>447</v>
      </c>
      <c r="B370" s="2" t="s">
        <v>466</v>
      </c>
      <c r="C370" t="s">
        <v>462</v>
      </c>
    </row>
    <row r="371" spans="1:3" x14ac:dyDescent="0.2">
      <c r="A371" s="2" t="s">
        <v>447</v>
      </c>
      <c r="B371" s="2" t="s">
        <v>467</v>
      </c>
      <c r="C371" t="s">
        <v>263</v>
      </c>
    </row>
    <row r="372" spans="1:3" x14ac:dyDescent="0.2">
      <c r="A372" s="2" t="s">
        <v>447</v>
      </c>
      <c r="B372" s="2" t="s">
        <v>468</v>
      </c>
      <c r="C372" t="s">
        <v>263</v>
      </c>
    </row>
    <row r="373" spans="1:3" x14ac:dyDescent="0.2">
      <c r="A373" s="2" t="s">
        <v>447</v>
      </c>
      <c r="B373" s="2" t="s">
        <v>469</v>
      </c>
      <c r="C373" t="s">
        <v>263</v>
      </c>
    </row>
    <row r="374" spans="1:3" x14ac:dyDescent="0.2">
      <c r="A374" s="2" t="s">
        <v>447</v>
      </c>
      <c r="B374" s="2" t="s">
        <v>470</v>
      </c>
      <c r="C374" t="s">
        <v>263</v>
      </c>
    </row>
    <row r="375" spans="1:3" x14ac:dyDescent="0.2">
      <c r="A375" s="2" t="s">
        <v>447</v>
      </c>
      <c r="B375" s="2" t="s">
        <v>471</v>
      </c>
      <c r="C375" t="s">
        <v>263</v>
      </c>
    </row>
    <row r="376" spans="1:3" x14ac:dyDescent="0.2">
      <c r="A376" s="2" t="s">
        <v>447</v>
      </c>
      <c r="B376" s="2" t="s">
        <v>472</v>
      </c>
      <c r="C376" t="s">
        <v>263</v>
      </c>
    </row>
    <row r="377" spans="1:3" x14ac:dyDescent="0.2">
      <c r="A377" s="2" t="s">
        <v>447</v>
      </c>
      <c r="B377" s="2" t="s">
        <v>473</v>
      </c>
      <c r="C377" t="s">
        <v>263</v>
      </c>
    </row>
    <row r="378" spans="1:3" x14ac:dyDescent="0.2">
      <c r="A378" s="2" t="s">
        <v>447</v>
      </c>
      <c r="B378" s="2" t="s">
        <v>474</v>
      </c>
      <c r="C378" t="s">
        <v>263</v>
      </c>
    </row>
    <row r="379" spans="1:3" x14ac:dyDescent="0.2">
      <c r="A379" s="2" t="s">
        <v>447</v>
      </c>
      <c r="B379" s="2" t="s">
        <v>475</v>
      </c>
      <c r="C379" t="s">
        <v>476</v>
      </c>
    </row>
    <row r="380" spans="1:3" x14ac:dyDescent="0.2">
      <c r="A380" s="2" t="s">
        <v>447</v>
      </c>
      <c r="B380" s="2" t="s">
        <v>477</v>
      </c>
      <c r="C380" t="s">
        <v>476</v>
      </c>
    </row>
    <row r="381" spans="1:3" x14ac:dyDescent="0.2">
      <c r="A381" s="2" t="s">
        <v>447</v>
      </c>
      <c r="B381" s="2" t="s">
        <v>478</v>
      </c>
      <c r="C381" t="s">
        <v>476</v>
      </c>
    </row>
    <row r="382" spans="1:3" x14ac:dyDescent="0.2">
      <c r="A382" s="2" t="s">
        <v>447</v>
      </c>
      <c r="B382" s="2" t="s">
        <v>479</v>
      </c>
      <c r="C382" t="s">
        <v>476</v>
      </c>
    </row>
    <row r="383" spans="1:3" x14ac:dyDescent="0.2">
      <c r="A383" s="2" t="s">
        <v>447</v>
      </c>
      <c r="B383" s="2" t="s">
        <v>480</v>
      </c>
      <c r="C383" t="s">
        <v>476</v>
      </c>
    </row>
    <row r="384" spans="1:3" x14ac:dyDescent="0.2">
      <c r="A384" s="2" t="s">
        <v>447</v>
      </c>
      <c r="B384" s="2" t="s">
        <v>481</v>
      </c>
      <c r="C384" t="s">
        <v>476</v>
      </c>
    </row>
    <row r="385" spans="1:3" x14ac:dyDescent="0.2">
      <c r="A385" s="2" t="s">
        <v>447</v>
      </c>
      <c r="B385" s="2" t="s">
        <v>482</v>
      </c>
      <c r="C385" t="s">
        <v>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Master</vt:lpstr>
      <vt:lpstr>Regions Clusters</vt:lpstr>
      <vt:lpstr>Commodities Clusters</vt:lpstr>
      <vt:lpstr>Omnivore 170g meal</vt:lpstr>
      <vt:lpstr>Omnivore 75g meal</vt:lpstr>
      <vt:lpstr>Flexitarian 30g meal</vt:lpstr>
      <vt:lpstr>Vegetarian meal</vt:lpstr>
      <vt:lpstr>Pescetarian meal</vt:lpstr>
      <vt:lpstr>Vegan meal</vt:lpstr>
      <vt:lpstr>Omnivore 100g opt meal</vt:lpstr>
      <vt:lpstr>Omnivore 45g opt meal</vt:lpstr>
      <vt:lpstr>Flexitarian 20g opt meal</vt:lpstr>
      <vt:lpstr>Pescetarian opt meal</vt:lpstr>
      <vt:lpstr>Vegetarian opt meal</vt:lpstr>
      <vt:lpstr>Vegan opt meal</vt:lpstr>
      <vt:lpstr>Housing</vt:lpstr>
      <vt:lpstr>Other fossil heating system</vt:lpstr>
      <vt:lpstr>Solid biomass heating system</vt:lpstr>
      <vt:lpstr>Heavy fuel oil heating system</vt:lpstr>
      <vt:lpstr>Methane heating system</vt:lpstr>
      <vt:lpstr>Electric heating system</vt:lpstr>
      <vt:lpstr>District heating network</vt:lpstr>
      <vt:lpstr>Heat pump system</vt:lpstr>
      <vt:lpstr>Solar thermal system</vt:lpstr>
      <vt:lpstr>Diesel and gasoline car</vt:lpstr>
      <vt:lpstr>LPG car</vt:lpstr>
      <vt:lpstr>Methane car</vt:lpstr>
      <vt:lpstr>Hydrogen car</vt:lpstr>
      <vt:lpstr>Full electric car</vt:lpstr>
      <vt:lpstr>DB 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Lorenzo Rinaldi</cp:lastModifiedBy>
  <dcterms:created xsi:type="dcterms:W3CDTF">2025-04-30T06:37:16Z</dcterms:created>
  <dcterms:modified xsi:type="dcterms:W3CDTF">2025-04-30T06:48:59Z</dcterms:modified>
</cp:coreProperties>
</file>